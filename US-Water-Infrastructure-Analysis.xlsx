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Forward Model" sheetId="3" state="visible" r:id="rId5"/>
    <sheet name="Scenarios" sheetId="4" state="visible" r:id="rId6"/>
    <sheet name="Historical Spending" sheetId="5" state="visible" r:id="rId7"/>
    <sheet name="Federal Programs" sheetId="6" state="visible" r:id="rId8"/>
    <sheet name="Needs Estimates" sheetId="7" state="visible" r:id="rId9"/>
    <sheet name="Pipe and Assets" sheetId="8" state="visible" r:id="rId10"/>
    <sheet name="Regulatory" sheetId="9" state="visible" r:id="rId11"/>
    <sheet name="Core and Main" sheetId="10" state="visible" r:id="rId12"/>
    <sheet name="Ferguson" sheetId="11" state="visible" r:id="rId13"/>
    <sheet name="Comparison" sheetId="12" state="visible" r:id="rId14"/>
    <sheet name="Dashboard" sheetId="13" state="visible" r:id="rId15"/>
    <sheet name="Asset Data Sources" sheetId="14" state="visible" r:id="rId16"/>
    <sheet name="Annual" sheetId="15" state="visible" r:id="rId17"/>
    <sheet name="Quarterly" sheetId="16" state="visible" r:id="rId18"/>
    <sheet name="Series Links" sheetId="17" state="visible" r:id="rId19"/>
    <sheet name="Sources" sheetId="18" state="visible" r:id="rId20"/>
  </sheets>
  <definedNames>
    <definedName function="false" hidden="true" localSheetId="14" name="_xlnm._FilterDatabase" vbProcedure="false">Annual!$A$47:$K$108</definedName>
    <definedName function="false" hidden="true" localSheetId="15" name="_xlnm._FilterDatabase" vbProcedure="false">Quarterly!$A$5:$L$25</definedName>
    <definedName function="false" hidden="true" localSheetId="16" name="_xlnm._FilterDatabase" vbProcedure="false">'Series Links'!$A$7:$H$30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<sst xmlns="http://schemas.openxmlformats.org/spreadsheetml/2006/main" count="2623" uniqueCount="1458">
  <si>
    <t xml:space="preserve">US Water Infrastructure — Analysis Workbook</t>
  </si>
  <si>
    <t xml:space="preserve">Historical spending · forward budget model · technical drivers · Core &amp; Main and Ferguson</t>
  </si>
  <si>
    <t xml:space="preserve">What this workbook contains</t>
  </si>
  <si>
    <t xml:space="preserve">A quantitative companion to the written analysis. Eighteen tabs covering who funds US water infrastructure, what annual spend should look like through 2035, the engineering evidence for replacement, where the underlying asset data actually lives, the full downloaded time series, and how it all flows through to the two listed distributors with direct exposure.</t>
  </si>
  <si>
    <t xml:space="preserve">Tab</t>
  </si>
  <si>
    <t xml:space="preserve">What it holds</t>
  </si>
  <si>
    <t xml:space="preserve">Formula-driven?</t>
  </si>
  <si>
    <t xml:space="preserve">Dashboard</t>
  </si>
  <si>
    <t xml:space="preserve">Headline figures pulled from the other tabs</t>
  </si>
  <si>
    <t xml:space="preserve">Yes — all links</t>
  </si>
  <si>
    <t xml:space="preserve">Assumptions</t>
  </si>
  <si>
    <t xml:space="preserve">Every model input in one place. THIS IS THE TAB TO EDIT.</t>
  </si>
  <si>
    <t xml:space="preserve">Inputs (blue/yellow)</t>
  </si>
  <si>
    <t xml:space="preserve">Forward Model</t>
  </si>
  <si>
    <t xml:space="preserve">National water capital spending build-up, 2026–2035</t>
  </si>
  <si>
    <t xml:space="preserve">Yes</t>
  </si>
  <si>
    <t xml:space="preserve">Scenarios</t>
  </si>
  <si>
    <t xml:space="preserve">Bear / base / bull, driven off the Assumptions levers</t>
  </si>
  <si>
    <t xml:space="preserve">Historical Spending</t>
  </si>
  <si>
    <t xml:space="preserve">CBO 1956–2023 series, Census construction, local capital</t>
  </si>
  <si>
    <t xml:space="preserve">Partly</t>
  </si>
  <si>
    <t xml:space="preserve">Federal Programs</t>
  </si>
  <si>
    <t xml:space="preserve">SRF, IIJA, WIFIA, earmarks, WRDA 2026</t>
  </si>
  <si>
    <t xml:space="preserve">Needs Estimates</t>
  </si>
  <si>
    <t xml:space="preserve">The four published studies, annualised and reconciled</t>
  </si>
  <si>
    <t xml:space="preserve">Pipe and Assets</t>
  </si>
  <si>
    <t xml:space="preserve">USU break rates, miles by material, asset inventory</t>
  </si>
  <si>
    <t xml:space="preserve">Regulatory</t>
  </si>
  <si>
    <t xml:space="preserve">Lead &amp; Copper Rule Improvements, PFAS, CSO consent decrees</t>
  </si>
  <si>
    <t xml:space="preserve">Core and Main</t>
  </si>
  <si>
    <t xml:space="preserve">Five-year P&amp;L, end-market mix, guidance, derived metrics</t>
  </si>
  <si>
    <t xml:space="preserve">Ferguson</t>
  </si>
  <si>
    <t xml:space="preserve">Eight-year P&amp;L, US customer groups, waterworks estimate</t>
  </si>
  <si>
    <t xml:space="preserve">Comparison</t>
  </si>
  <si>
    <t xml:space="preserve">Side by side plus revenue sensitivity to market growth</t>
  </si>
  <si>
    <t xml:space="preserve">Asset Data Sources</t>
  </si>
  <si>
    <t xml:space="preserve">Where pipe installation year and repair history exist in the public record</t>
  </si>
  <si>
    <t xml:space="preserve">No</t>
  </si>
  <si>
    <t xml:space="preserve">Annual</t>
  </si>
  <si>
    <t xml:space="preserve">Full annual history for both companies plus 74 macro series with sources</t>
  </si>
  <si>
    <t xml:space="preserve">Quarterly</t>
  </si>
  <si>
    <t xml:space="preserve">Every reported quarter for both companies, with cross-foot checks</t>
  </si>
  <si>
    <t xml:space="preserve">Series Links</t>
  </si>
  <si>
    <t xml:space="preserve">Direct download endpoints for every series — FRED CSV, portals, primary docs</t>
  </si>
  <si>
    <t xml:space="preserve">Sources</t>
  </si>
  <si>
    <t xml:space="preserve">Every source with its known interest or bias</t>
  </si>
  <si>
    <t xml:space="preserve">Colour legend</t>
  </si>
  <si>
    <t xml:space="preserve">Format</t>
  </si>
  <si>
    <t xml:space="preserve">Meaning</t>
  </si>
  <si>
    <t xml:space="preserve">Example</t>
  </si>
  <si>
    <t xml:space="preserve">Blue text</t>
  </si>
  <si>
    <t xml:space="preserve">Hardcoded input — safe to change</t>
  </si>
  <si>
    <t xml:space="preserve">68.0</t>
  </si>
  <si>
    <t xml:space="preserve">Black text</t>
  </si>
  <si>
    <t xml:space="preserve">Formula — do not overwrite</t>
  </si>
  <si>
    <t xml:space="preserve">SUM(B2:B9)</t>
  </si>
  <si>
    <t xml:space="preserve">Green text</t>
  </si>
  <si>
    <t xml:space="preserve">Link to another tab in this workbook</t>
  </si>
  <si>
    <t xml:space="preserve">'Assumptions'!B5</t>
  </si>
  <si>
    <t xml:space="preserve">Yellow fill</t>
  </si>
  <si>
    <t xml:space="preserve">Key assumption the reader should review</t>
  </si>
  <si>
    <t xml:space="preserve">growth rate</t>
  </si>
  <si>
    <t xml:space="preserve">Method and provenance</t>
  </si>
  <si>
    <t xml:space="preserve">Company financials, segment mix, guidance and management quotations: sourced from Quartr — primary earnings releases, investor presentations and call transcripts. Core &amp; Main Q1 FY2026 (10 Jun 2026) and FY2025 results (24 Mar 2026); Ferguson Q2 CY2026 (10 Aug 2026) and CY2025 transition period (24 Feb 2026).</t>
  </si>
  <si>
    <t xml:space="preserve">Public spending and technical data: CBO, US Census Bureau, Congressional Research Service, EPA, EPA Office of Inspector General, GAO, USGS, ASCE, AWWA, Utah State University and Bluefield Research. Each figure is attributed on its own row.</t>
  </si>
  <si>
    <t xml:space="preserve">Derived figures are computed by formula from cited inputs, never typed as results. Where a number is an estimate rather than a reported figure it is labelled ESTIMATE on its row.</t>
  </si>
  <si>
    <t xml:space="preserve">Caveats that belong on the front page</t>
  </si>
  <si>
    <t xml:space="preserve">DATA ACCESS. This workbook was assembled in an environment whose network policy blocked direct retrieval from cbo.gov, epa.gov, census.gov, congress.gov, fred.stlouisfed.org and infrastructurereportcard.org. Public-sector figures were obtained via search results summarising those primary documents. Attributions are to the correct primary source, but VERIFY EACH HEADLINE NUMBER against the source document before relying on it for an investment decision. Company financials do not carry this caveat — they came from Quartr's primary filings.</t>
  </si>
  <si>
    <t xml:space="preserve">THE CAPITAL BASE. The $68bn 2026 base on the Assumptions tab is a reconciliation of four independent sources, not a single reported figure — see the Needs Estimates tab for the derivation. An earlier draft of this analysis used $88bn, which was Census construction put in place; that series bundles solid waste with sewerage and includes private work, and overstates water capital spending by roughly 30%.</t>
  </si>
  <si>
    <t xml:space="preserve">NO VALUATION. This workbook contains no valuation, no price target and no recommendation. It sizes a market, models its trajectory, and tests the engineering claims underneath it.</t>
  </si>
  <si>
    <t xml:space="preserve">Built August 2026.</t>
  </si>
  <si>
    <t xml:space="preserve">Blue = editable input. Every model figure elsewhere in this workbook resolves back to this tab.</t>
  </si>
  <si>
    <t xml:space="preserve">Core model inputs</t>
  </si>
  <si>
    <t xml:space="preserve">Input</t>
  </si>
  <si>
    <t xml:space="preserve">Value</t>
  </si>
  <si>
    <t xml:space="preserve">Unit</t>
  </si>
  <si>
    <t xml:space="preserve">Basis</t>
  </si>
  <si>
    <t xml:space="preserve">National water capital spending, 2026</t>
  </si>
  <si>
    <t xml:space="preserve">$bn</t>
  </si>
  <si>
    <t xml:space="preserve">Reconciliation of four sources — see Needs Estimates tab. CBO water utilities capital $59bn (2023) escalated; Census adjusted for solid-waste content; ASCE and AWWA implied.</t>
  </si>
  <si>
    <t xml:space="preserve">Organic growth rate, nominal</t>
  </si>
  <si>
    <t xml:space="preserve">% p.a.</t>
  </si>
  <si>
    <t xml:space="preserve">Bluefield treatment capex CAGR 4.4%; water and sewer rate growth ~5%.</t>
  </si>
  <si>
    <t xml:space="preserve">IIJA gross federal step-down</t>
  </si>
  <si>
    <t xml:space="preserve">$bn p.a.</t>
  </si>
  <si>
    <t xml:space="preserve">Annual SRF funding fell from ~$2.7bn (FY2021) to ~$11.4bn (FY2022-26) — National League of Cities.</t>
  </si>
  <si>
    <t xml:space="preserve">Less: permanent revolving offset</t>
  </si>
  <si>
    <t xml:space="preserve">ESTIMATE. ~50/50 grant vs loan split implies ~$25bn permanent SRF corpus supporting ongoing lending.</t>
  </si>
  <si>
    <t xml:space="preserve">Net steady-state IIJA drag</t>
  </si>
  <si>
    <t xml:space="preserve">Formula. The figure that actually leaves the system once revolving lending is netted off.</t>
  </si>
  <si>
    <t xml:space="preserve">  as % of the 2026 capital base</t>
  </si>
  <si>
    <t xml:space="preserve">%</t>
  </si>
  <si>
    <t xml:space="preserve">Formula. The honest measure of the funding cliff.</t>
  </si>
  <si>
    <t xml:space="preserve">Scenario levers</t>
  </si>
  <si>
    <t xml:space="preserve">Scenario</t>
  </si>
  <si>
    <t xml:space="preserve">Organic growth</t>
  </si>
  <si>
    <t xml:space="preserve">IIJA drag ($bn)</t>
  </si>
  <si>
    <t xml:space="preserve">Regulatory adder multiplier</t>
  </si>
  <si>
    <t xml:space="preserve">Bear</t>
  </si>
  <si>
    <t xml:space="preserve">Base</t>
  </si>
  <si>
    <t xml:space="preserve">Bull</t>
  </si>
  <si>
    <t xml:space="preserve">Bear: FY2027 House 16% SRF cut sustained, no WRDA reauthorisation, rate growth decelerates to 3%, LCRI struck down in part. Bull: WRDA 2026 appropriated in full, LCRI upheld, rate growth holds 5.5%.</t>
  </si>
  <si>
    <t xml:space="preserve">Year-indexed drivers</t>
  </si>
  <si>
    <t xml:space="preserve">Driver</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</si>
  <si>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</si>
  <si>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</si>
  <si>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</si>
  <si>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</si>
  <si>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</si>
  <si>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</si>
  <si>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</si>
  <si>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</si>
  <si>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</si>
  <si>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</si>
  <si>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IIJA drawdown phasing</t>
  </si>
  <si>
    <t xml:space="preserve">% of full effect</t>
  </si>
  <si>
    <t xml:space="preserve">Lead service line adder</t>
  </si>
  <si>
    <t xml:space="preserve">PFAS adder</t>
  </si>
  <si>
    <t xml:space="preserve">Phasing: only about a third of the ~$50bn IIJA water money had reached municipalities by mid-2026 (Core &amp; Main, Q1 FY2026 call), so the drawdown lands across 2027-2030 rather than at expiry.</t>
  </si>
  <si>
    <t xml:space="preserve">Lead adder: 9.2m lines at $4,700-$6,930 each (EPA) over the LCRI ten-year window, net of the $15bn of dedicated IIJA funding already inside the base.</t>
  </si>
  <si>
    <t xml:space="preserve">PFAS adder: incremental capital and O&amp;M above base. EPA's 18 May 2026 proposal retains only PFOA and PFOS and would slip compliance to 2031, so spend shifts right and the peak is lower than the 2024 six-compound rule implied.</t>
  </si>
  <si>
    <t xml:space="preserve">Forward Model — National Water Capital Spending</t>
  </si>
  <si>
    <t xml:space="preserve">$bn nominal. Every cell is a formula off the Assumptions tab.</t>
  </si>
  <si>
    <t xml:space="preserve">Line</t>
  </si>
  <si>
    <t xml:space="preserve">Organic base</t>
  </si>
  <si>
    <t xml:space="preserve">grows at assumed rate</t>
  </si>
  <si>
    <t xml:space="preserve">IIJA drawdown</t>
  </si>
  <si>
    <t xml:space="preserve">net drag x phasing</t>
  </si>
  <si>
    <t xml:space="preserve">Lead service lines</t>
  </si>
  <si>
    <t xml:space="preserve">regulatory adder</t>
  </si>
  <si>
    <t xml:space="preserve">PFAS</t>
  </si>
  <si>
    <t xml:space="preserve">Total capital spending</t>
  </si>
  <si>
    <t xml:space="preserve">sum</t>
  </si>
  <si>
    <t xml:space="preserve">  year on year</t>
  </si>
  <si>
    <t xml:space="preserve">growth</t>
  </si>
  <si>
    <t xml:space="preserve">Summary</t>
  </si>
  <si>
    <t xml:space="preserve">Metric</t>
  </si>
  <si>
    <t xml:space="preserve">Note</t>
  </si>
  <si>
    <t xml:space="preserve">Cumulative spend 2027-2035 ($bn)</t>
  </si>
  <si>
    <t xml:space="preserve">Base case. Sits between the escalated EPA survey floor and the ASCE/AWWA ceiling.</t>
  </si>
  <si>
    <t xml:space="preserve">CAGR 2026-2035</t>
  </si>
  <si>
    <t xml:space="preserve">Mid-single-digit nominal. Not a boom, not a bust.</t>
  </si>
  <si>
    <t xml:space="preserve">Trough growth year</t>
  </si>
  <si>
    <t xml:space="preserve">Where the federal drawdown concentrates.</t>
  </si>
  <si>
    <t xml:space="preserve">Trough growth rate</t>
  </si>
  <si>
    <t xml:space="preserve">Even at the worst point, growth stays positive.</t>
  </si>
  <si>
    <t xml:space="preserve">Reading: the federal drawdown costs roughly one to one and a half percentage points of market growth in the 2029-2030 window, and nothing thereafter. There is no credible scenario in which national water capital spending falls in nominal terms.</t>
  </si>
  <si>
    <t xml:space="preserve">Bear / base / bull, each driven off its own row of levers on the Assumptions tab.</t>
  </si>
  <si>
    <t xml:space="preserve">Levers</t>
  </si>
  <si>
    <t xml:space="preserve">g / drag / adder</t>
  </si>
  <si>
    <t xml:space="preserve">Spread</t>
  </si>
  <si>
    <t xml:space="preserve">Bull less bear ($bn)</t>
  </si>
  <si>
    <t xml:space="preserve">range</t>
  </si>
  <si>
    <t xml:space="preserve">  as % of bear</t>
  </si>
  <si>
    <t xml:space="preserve">Scenario endpoints</t>
  </si>
  <si>
    <t xml:space="preserve">2030 ($bn)</t>
  </si>
  <si>
    <t xml:space="preserve">2035 ($bn)</t>
  </si>
  <si>
    <t xml:space="preserve">CAGR 2026-35</t>
  </si>
  <si>
    <t xml:space="preserve">The bear-to-bull spread by 2035 is the honest measure of confidence in this forecast. The direction, however, is up in every case — the disagreement is about pace, not sign.</t>
  </si>
  <si>
    <t xml:space="preserve">Who actually pays for US water infrastructure.</t>
  </si>
  <si>
    <t xml:space="preserve">CBO — public spending on transportation and water infrastructure, 2023</t>
  </si>
  <si>
    <t xml:space="preserve">Share</t>
  </si>
  <si>
    <t xml:space="preserve">Source</t>
  </si>
  <si>
    <t xml:space="preserve">Total, all transportation and water infrastructure</t>
  </si>
  <si>
    <t xml:space="preserve">CBO, Public Spending on Transportation and Water Infrastructure 1956-2023, Feb 2025</t>
  </si>
  <si>
    <t xml:space="preserve">  as % of GDP</t>
  </si>
  <si>
    <t xml:space="preserve">CBO</t>
  </si>
  <si>
    <t xml:space="preserve">Water utilities — total spending</t>
  </si>
  <si>
    <t xml:space="preserve">CBO via USAFacts. Water utilities take ~28% of the total.</t>
  </si>
  <si>
    <t xml:space="preserve">  of which capital</t>
  </si>
  <si>
    <t xml:space="preserve">CBO. THIS IS THE ANCHOR FOR THE FORWARD MODEL BASE.</t>
  </si>
  <si>
    <t xml:space="preserve">  of which operations and maintenance</t>
  </si>
  <si>
    <t xml:space="preserve">CBO. O&amp;M is the majority — capital is the minority of utility spending.</t>
  </si>
  <si>
    <t xml:space="preserve">State and local share of water infrastructure</t>
  </si>
  <si>
    <t xml:space="preserve">CBO. Rises to ~96% on the narrower water supply and wastewater facilities definition.</t>
  </si>
  <si>
    <t xml:space="preserve">Federal share of water infrastructure</t>
  </si>
  <si>
    <t xml:space="preserve">O&amp;M as % of all public infrastructure spending</t>
  </si>
  <si>
    <t xml:space="preserve">CBO — $355bn of $625.8bn in 2023. Rising over time.</t>
  </si>
  <si>
    <t xml:space="preserve">State and local share of ALL public infrastructure</t>
  </si>
  <si>
    <t xml:space="preserve">CBO — $494.2bn of $625.8bn in 2023.</t>
  </si>
  <si>
    <t xml:space="preserve">Census Bureau — value of construction put in place (C30)</t>
  </si>
  <si>
    <t xml:space="preserve">Category</t>
  </si>
  <si>
    <t xml:space="preserve">Source and caveat</t>
  </si>
  <si>
    <t xml:space="preserve">Water supply — total construction</t>
  </si>
  <si>
    <t xml:space="preserve">SAAR Jan-2026</t>
  </si>
  <si>
    <t xml:space="preserve">Census C30. Includes private work.</t>
  </si>
  <si>
    <t xml:space="preserve">Water supply — public construction</t>
  </si>
  <si>
    <t xml:space="preserve">Census C30 / FRED PBWSCONS</t>
  </si>
  <si>
    <t xml:space="preserve">Sewage and waste disposal — total</t>
  </si>
  <si>
    <t xml:space="preserve">Census C30. CAUTION: bundles SOLID WASTE facilities with sewerage — overstates wastewater.</t>
  </si>
  <si>
    <t xml:space="preserve">Sewage and waste disposal — public</t>
  </si>
  <si>
    <t xml:space="preserve">Census C30</t>
  </si>
  <si>
    <t xml:space="preserve">Naive sum (both categories, total construction)</t>
  </si>
  <si>
    <t xml:space="preserve">formula</t>
  </si>
  <si>
    <t xml:space="preserve">This is the $88bn figure an earlier draft used as the capital base. It is NOT water capital spending — see the reconciliation on the Needs Estimates tab.</t>
  </si>
  <si>
    <t xml:space="preserve">Longer-run local capital spending</t>
  </si>
  <si>
    <t xml:space="preserve">Period</t>
  </si>
  <si>
    <t xml:space="preserve">Local capital spending — sewer, cumulative</t>
  </si>
  <si>
    <t xml:space="preserve">2012-2024</t>
  </si>
  <si>
    <t xml:space="preserve">US Conference of Mayors, 2025 Public Infrastructure Spending</t>
  </si>
  <si>
    <t xml:space="preserve">  annual average</t>
  </si>
  <si>
    <t xml:space="preserve">Local government only</t>
  </si>
  <si>
    <t xml:space="preserve">Local capital spending — water supply, cumulative</t>
  </si>
  <si>
    <t xml:space="preserve">US Conference of Mayors</t>
  </si>
  <si>
    <t xml:space="preserve">All public community-asset capital spending, 2012</t>
  </si>
  <si>
    <t xml:space="preserve">2012</t>
  </si>
  <si>
    <t xml:space="preserve">All public community-asset capital spending, 2024</t>
  </si>
  <si>
    <t xml:space="preserve">2024</t>
  </si>
  <si>
    <t xml:space="preserve">  growth 2012-2024</t>
  </si>
  <si>
    <t xml:space="preserve">+76%</t>
  </si>
  <si>
    <t xml:space="preserve">The real funding engine — rates, debt and water loss</t>
  </si>
  <si>
    <t xml:space="preserve">Water and sewer bill increase</t>
  </si>
  <si>
    <t xml:space="preserve">2025</t>
  </si>
  <si>
    <t xml:space="preserve">Bluefield Research, US Municipal Water &amp; Sewer Rate Index (50 cities)</t>
  </si>
  <si>
    <t xml:space="preserve">  cumulative five-year increase</t>
  </si>
  <si>
    <t xml:space="preserve">2020-2025</t>
  </si>
  <si>
    <t xml:space="preserve">Bluefield Research</t>
  </si>
  <si>
    <t xml:space="preserve">  water rates</t>
  </si>
  <si>
    <t xml:space="preserve">2024-25</t>
  </si>
  <si>
    <t xml:space="preserve">  wastewater rates</t>
  </si>
  <si>
    <t xml:space="preserve">Water and sewer bond issuance</t>
  </si>
  <si>
    <t xml:space="preserve">2010 low</t>
  </si>
  <si>
    <t xml:space="preserve">Historical reference range</t>
  </si>
  <si>
    <t xml:space="preserve">  upper end of range</t>
  </si>
  <si>
    <t xml:space="preserve">2013 high</t>
  </si>
  <si>
    <t xml:space="preserve">Non-revenue water — share of treated supply</t>
  </si>
  <si>
    <t xml:space="preserve">current</t>
  </si>
  <si>
    <t xml:space="preserve">  volume lost daily</t>
  </si>
  <si>
    <t xml:space="preserve">bn gallons/day</t>
  </si>
  <si>
    <t xml:space="preserve">  lost revenue</t>
  </si>
  <si>
    <t xml:space="preserve">A single year of national rate increases generates more incremental utility spending capacity than the entire annual IIJA water supplemental. This is the variable that matters most for distributor revenue, and it is the one least discussed.</t>
  </si>
  <si>
    <t xml:space="preserve">Four federal channels. Only one is large, and it expires 30 September 2026.</t>
  </si>
  <si>
    <t xml:space="preserve">State Revolving Funds — appropriations</t>
  </si>
  <si>
    <t xml:space="preserve">Item</t>
  </si>
  <si>
    <t xml:space="preserve">Total annual SRF funding, pre-IIJA</t>
  </si>
  <si>
    <t xml:space="preserve">FY2021</t>
  </si>
  <si>
    <t xml:space="preserve">National League of Cities</t>
  </si>
  <si>
    <t xml:space="preserve">Total annual SRF funding, with IIJA</t>
  </si>
  <si>
    <t xml:space="preserve">FY2022-26 avg</t>
  </si>
  <si>
    <t xml:space="preserve">National League of Cities — a ~4x step up</t>
  </si>
  <si>
    <t xml:space="preserve">Clean Water SRF — total available</t>
  </si>
  <si>
    <t xml:space="preserve">CRS</t>
  </si>
  <si>
    <t xml:space="preserve">Clean Water SRF — regular appropriation</t>
  </si>
  <si>
    <t xml:space="preserve">FY2025</t>
  </si>
  <si>
    <t xml:space="preserve">Clean Water SRF — IIJA supplemental</t>
  </si>
  <si>
    <t xml:space="preserve">Drinking Water SRF — regular appropriation</t>
  </si>
  <si>
    <t xml:space="preserve">Drinking Water SRF — IIJA supplemental</t>
  </si>
  <si>
    <t xml:space="preserve">EPA water infrastructure programs — total</t>
  </si>
  <si>
    <t xml:space="preserve">FY2026</t>
  </si>
  <si>
    <t xml:space="preserve">P.L. 119-74, same as FY2025 enacted (P.L. 119-4)</t>
  </si>
  <si>
    <t xml:space="preserve">Regular appropriations for EPA water infrastructure programs have been FLAT across FY2024, FY2025 and FY2026. All growth in the period came from the IIJA supplemental.</t>
  </si>
  <si>
    <t xml:space="preserve">IIJA / Bipartisan Infrastructure Law supplemental — expiring</t>
  </si>
  <si>
    <t xml:space="preserve">Pot</t>
  </si>
  <si>
    <t xml:space="preserve">Amount</t>
  </si>
  <si>
    <t xml:space="preserve">Clean Water SRF general supplemental</t>
  </si>
  <si>
    <t xml:space="preserve">FY2022-26</t>
  </si>
  <si>
    <t xml:space="preserve">Predominantly loans</t>
  </si>
  <si>
    <t xml:space="preserve">Drinking Water SRF general supplemental</t>
  </si>
  <si>
    <t xml:space="preserve">DWSRF — lead service line replacement</t>
  </si>
  <si>
    <t xml:space="preserve">High principal-forgiveness requirement</t>
  </si>
  <si>
    <t xml:space="preserve">DWSRF — emerging contaminants (PFAS)</t>
  </si>
  <si>
    <t xml:space="preserve">Grant-like for disadvantaged communities</t>
  </si>
  <si>
    <t xml:space="preserve">Other pots (CWSRF emerging contaminants etc.)</t>
  </si>
  <si>
    <t xml:space="preserve">Balance to the &gt;$50bn headline</t>
  </si>
  <si>
    <t xml:space="preserve">Total IIJA water supplemental</t>
  </si>
  <si>
    <t xml:space="preserve">EPA states 'over $50 billion'. Expires 30 September 2026.</t>
  </si>
  <si>
    <t xml:space="preserve">The cliff arithmetic</t>
  </si>
  <si>
    <t xml:space="preserve">Step</t>
  </si>
  <si>
    <t xml:space="preserve">Reasoning</t>
  </si>
  <si>
    <t xml:space="preserve">1. Gross federal step-down</t>
  </si>
  <si>
    <t xml:space="preserve">$11.4bn (FY22-26) less $2.7bn (FY21)</t>
  </si>
  <si>
    <t xml:space="preserve">Formula</t>
  </si>
  <si>
    <t xml:space="preserve">2. Share not yet at municipality level</t>
  </si>
  <si>
    <t xml:space="preserve">Core &amp; Main, Q1 FY2026 call: 'only about a third or less of it has hit the municipality level yet'</t>
  </si>
  <si>
    <t xml:space="preserve">  dollars still to disburse</t>
  </si>
  <si>
    <t xml:space="preserve">Spreads the drawdown across 2027-2030 rather than at expiry</t>
  </si>
  <si>
    <t xml:space="preserve">3. Permanent revolving offset</t>
  </si>
  <si>
    <t xml:space="preserve">ESTIMATE. ~50/50 grant vs loan split; loans recycle into the state corpus</t>
  </si>
  <si>
    <t xml:space="preserve">4. Net steady-state drag</t>
  </si>
  <si>
    <t xml:space="preserve">The honest measure of the cliff — not the 100% often assumed</t>
  </si>
  <si>
    <t xml:space="preserve">WIFIA, earmarks and reauthorisation</t>
  </si>
  <si>
    <t xml:space="preserve">As at</t>
  </si>
  <si>
    <t xml:space="preserve">WIFIA — cumulative financing closed</t>
  </si>
  <si>
    <t xml:space="preserve">May 2026</t>
  </si>
  <si>
    <t xml:space="preserve">152 closed loans</t>
  </si>
  <si>
    <t xml:space="preserve">WIFIA — total project value supported</t>
  </si>
  <si>
    <t xml:space="preserve">Leverage, not subsidy</t>
  </si>
  <si>
    <t xml:space="preserve">WIFIA — capacity still available</t>
  </si>
  <si>
    <t xml:space="preserve">EPA waiving fees for small communities</t>
  </si>
  <si>
    <t xml:space="preserve">WIFIA — FY2025 closings</t>
  </si>
  <si>
    <t xml:space="preserve">8 loans</t>
  </si>
  <si>
    <t xml:space="preserve">WIFIA — 2026 year-to-date closings</t>
  </si>
  <si>
    <t xml:space="preserve">early 2026</t>
  </si>
  <si>
    <t xml:space="preserve">3 loans</t>
  </si>
  <si>
    <t xml:space="preserve">FY2027 House bill — proposed SRF cut</t>
  </si>
  <si>
    <t xml:space="preserve">FY2027</t>
  </si>
  <si>
    <t xml:space="preserve">Committee markup, June 2026</t>
  </si>
  <si>
    <t xml:space="preserve">FY2027 DWSRF proposed level</t>
  </si>
  <si>
    <t xml:space="preserve">Down from $1.126bn in FY2026</t>
  </si>
  <si>
    <t xml:space="preserve">FY2027 earmarks — water projects</t>
  </si>
  <si>
    <t xml:space="preserve">~1,200 projects, carved OUT of SRF not added to it</t>
  </si>
  <si>
    <t xml:space="preserve">WRDA 2026 — CWSRF authorisation</t>
  </si>
  <si>
    <t xml:space="preserve">over 4 yrs</t>
  </si>
  <si>
    <t xml:space="preserve">Senate EPW text, 13 July 2026. AUTHORISATION, not appropriation.</t>
  </si>
  <si>
    <t xml:space="preserve">WRDA 2026 — DWSRF authorisation</t>
  </si>
  <si>
    <t xml:space="preserve">over 5 yrs</t>
  </si>
  <si>
    <t xml:space="preserve">$3.3bn/yr — triple current appropriations but BELOW the FY22-26 run-rate</t>
  </si>
  <si>
    <t xml:space="preserve">WRDA 2026 — WIFIA authorisation</t>
  </si>
  <si>
    <t xml:space="preserve">through FY2030</t>
  </si>
  <si>
    <t xml:space="preserve">Senate EPW</t>
  </si>
  <si>
    <t xml:space="preserve">Needs Estimates and the Capital Base</t>
  </si>
  <si>
    <t xml:space="preserve">The four published studies disagree by 3x because they measure different things.</t>
  </si>
  <si>
    <t xml:space="preserve">Study</t>
  </si>
  <si>
    <t xml:space="preserve">Headline</t>
  </si>
  <si>
    <t xml:space="preserve">Annualised ($bn)</t>
  </si>
  <si>
    <t xml:space="preserve">What it measures / whose interest</t>
  </si>
  <si>
    <t xml:space="preserve">EPA 7th DWINSA (Sep 2023)</t>
  </si>
  <si>
    <t xml:space="preserve">$bn / 20yr</t>
  </si>
  <si>
    <t xml:space="preserve">SRF-ELIGIBLE drinking water projects, self-reported by states. Jan-2021 dollars; $648.8bn in 2022 dollars per CRS. Allocation instrument — states self-report into their own funding formula.</t>
  </si>
  <si>
    <t xml:space="preserve">EPA CWNS 2022 (Apr 2024)</t>
  </si>
  <si>
    <t xml:space="preserve">SRF-ELIGIBLE clean water needs with documentation. +73% vs 2012, but first survey with 100% state participation — which mechanically inflates the increase.</t>
  </si>
  <si>
    <t xml:space="preserve">ASCE Bridging the Gap (2024)</t>
  </si>
  <si>
    <t xml:space="preserve">$bn/yr gap</t>
  </si>
  <si>
    <t xml:space="preserve">Annualised column = gap + actual spend. Full economic need incl. resilience and growth, from the civil engineers' professional society. Up from $81bn in 2021. NOTE: ASCE separately reports wastewater+stormwater annual capital NEEDS of $99bn with a $69bn gap — the same headline number used two different ways. Route 3 of the base reconciliation uses the latter.</t>
  </si>
  <si>
    <t xml:space="preserve">AWWA Beyond the Replacement Era (Mar 2026)</t>
  </si>
  <si>
    <t xml:space="preserve">$bn / 25yr</t>
  </si>
  <si>
    <t xml:space="preserve">Drinking water ONLY. Replacement + PFAS + lead + climate + cyber + O&amp;M. Midpoint of $2.1-2.4tn (2025 dollars). Utility trade association; requires a 168% increase in annual capital investment.</t>
  </si>
  <si>
    <t xml:space="preserve">EPA surveys — combined and escalated</t>
  </si>
  <si>
    <t xml:space="preserve">Combined annualised eligible need</t>
  </si>
  <si>
    <t xml:space="preserve">$bn/yr</t>
  </si>
  <si>
    <t xml:space="preserve">2021/2022 dollars, un-escalated</t>
  </si>
  <si>
    <t xml:space="preserve">Construction cost escalation</t>
  </si>
  <si>
    <t xml:space="preserve">Assumed</t>
  </si>
  <si>
    <t xml:space="preserve">Years to escalate</t>
  </si>
  <si>
    <t xml:space="preserve">yrs</t>
  </si>
  <si>
    <t xml:space="preserve">Mid-2021/22 base to 2026</t>
  </si>
  <si>
    <t xml:space="preserve">Escalated eligible need, 2026 dollars</t>
  </si>
  <si>
    <t xml:space="preserve">Reconciling the capital base — four independent routes to the same number</t>
  </si>
  <si>
    <t xml:space="preserve">Route</t>
  </si>
  <si>
    <t xml:space="preserve">Derivation</t>
  </si>
  <si>
    <t xml:space="preserve">1. CBO water utilities capital, 2023</t>
  </si>
  <si>
    <t xml:space="preserve">CBO. Public sector, water supply and wastewater.</t>
  </si>
  <si>
    <t xml:space="preserve">   escalated to 2026 at 4.5% p.a.</t>
  </si>
  <si>
    <t xml:space="preserve">2. Census water supply (total construction)</t>
  </si>
  <si>
    <t xml:space="preserve">Census C30, SAAR Jan-2026</t>
  </si>
  <si>
    <t xml:space="preserve">   Census sewage and waste disposal</t>
  </si>
  <si>
    <t xml:space="preserve">   assumed sewerage share of that category</t>
  </si>
  <si>
    <t xml:space="preserve">ESTIMATE. The rest is solid waste disposal — landfill, waste-to-energy.</t>
  </si>
  <si>
    <t xml:space="preserve">   adjusted total, public share (95%)</t>
  </si>
  <si>
    <t xml:space="preserve">3. ASCE implied wastewater + stormwater actual</t>
  </si>
  <si>
    <t xml:space="preserve">ASCE: annual capital needs $99bn, gap $69bn, so ~30% of needs met.</t>
  </si>
  <si>
    <t xml:space="preserve">4. AWWA implied drinking water actual</t>
  </si>
  <si>
    <t xml:space="preserve">AWWA requires a 168% increase to reach its target, so current spend is target / 2.68.</t>
  </si>
  <si>
    <t xml:space="preserve">   routes 3 + 4 combined</t>
  </si>
  <si>
    <t xml:space="preserve">Average of routes 1 and 2 (primary)</t>
  </si>
  <si>
    <t xml:space="preserve">The two strongest routes: a non-partisan scorekeeper and official construction statistics.</t>
  </si>
  <si>
    <t xml:space="preserve">Average of all three routes</t>
  </si>
  <si>
    <t xml:space="preserve">Routes 3 and 4 are weaker — both read advocacy claims backwards — and pull the average down.</t>
  </si>
  <si>
    <t xml:space="preserve">Implied range</t>
  </si>
  <si>
    <t xml:space="preserve">Low to high across the three routes.</t>
  </si>
  <si>
    <t xml:space="preserve">ADOPTED BASE</t>
  </si>
  <si>
    <t xml:space="preserve">Rounded to $68bn — the midpoint of the two primary routes. Sits at the upper end of the three-route range because routes 3 and 4 are derived from advocacy studies read in reverse and are the least reliable. Change it on the Assumptions tab to test the low end.</t>
  </si>
  <si>
    <t xml:space="preserve">  variance vs three-route average</t>
  </si>
  <si>
    <t xml:space="preserve">Formula. The model is ~2.5% above the most conservative reading of the base.</t>
  </si>
  <si>
    <t xml:space="preserve">Gap: escalated need less actual spend</t>
  </si>
  <si>
    <t xml:space="preserve">The documented, SRF-eligible shortfall — an order of magnitude below the ASCE headline.</t>
  </si>
  <si>
    <t xml:space="preserve">  as % of actual spend</t>
  </si>
  <si>
    <t xml:space="preserve">WHY THE FOUR STUDIES DIVERGE. The EPA surveys are floors by construction: they count only what states could document as eligible, and assume a 0.5%/yr pipe replacement rate — which imputes a 200-YEAR pipe life against an observed 53-year average failure age. The ASCE and AWWA figures are ceilings by construction, produced by parties that advocate for higher appropriations. The truth is bracketed, not split.</t>
  </si>
  <si>
    <t xml:space="preserve">Market-research forecasts (the view that maps to distributor revenue)</t>
  </si>
  <si>
    <t xml:space="preserve">Forecast</t>
  </si>
  <si>
    <t xml:space="preserve">US municipal water + wastewater treatment capex</t>
  </si>
  <si>
    <t xml:space="preserve">through 2035</t>
  </si>
  <si>
    <t xml:space="preserve">Bluefield Research — 4.4% CAGR</t>
  </si>
  <si>
    <t xml:space="preserve">  starting annual rate</t>
  </si>
  <si>
    <t xml:space="preserve">  ending annual rate</t>
  </si>
  <si>
    <t xml:space="preserve">  of which wastewater</t>
  </si>
  <si>
    <t xml:space="preserve">Bluefield Research — 58% of total</t>
  </si>
  <si>
    <t xml:space="preserve">  of which upgrades / rehab of existing assets</t>
  </si>
  <si>
    <t xml:space="preserve">Bluefield Research — 79%. The replacement thesis, quantified.</t>
  </si>
  <si>
    <t xml:space="preserve">US + Canada municipal pipe capex</t>
  </si>
  <si>
    <t xml:space="preserve">2026-2035</t>
  </si>
  <si>
    <t xml:space="preserve">Bluefield Research — ~$10bn/yr</t>
  </si>
  <si>
    <t xml:space="preserve">Pipe and Assets — the Engineering Evidence</t>
  </si>
  <si>
    <t xml:space="preserve">Utah State University, Water Main Break Rates in the USA and Canada, Dec 2023.</t>
  </si>
  <si>
    <t xml:space="preserve">Study scope</t>
  </si>
  <si>
    <t xml:space="preserve">Utilities surveyed</t>
  </si>
  <si>
    <t xml:space="preserve">count</t>
  </si>
  <si>
    <t xml:space="preserve">49 US states and all 10 Canadian provinces</t>
  </si>
  <si>
    <t xml:space="preserve">Population served by respondents</t>
  </si>
  <si>
    <t xml:space="preserve">&gt;30% of the US and Canada population</t>
  </si>
  <si>
    <t xml:space="preserve">Miles of main represented</t>
  </si>
  <si>
    <t xml:space="preserve">miles</t>
  </si>
  <si>
    <t xml:space="preserve">&gt;17% of the estimated 2.3m miles in both countries</t>
  </si>
  <si>
    <t xml:space="preserve">Publication date</t>
  </si>
  <si>
    <t xml:space="preserve">year</t>
  </si>
  <si>
    <t xml:space="preserve">Released Feb 2024 by USU's Utah Water Research Laboratory</t>
  </si>
  <si>
    <t xml:space="preserve">BIAS NOTE: the study is academic but distributed by pipe-manufacturer interests, and its material-by-material results favour PVC. It is also the best dataset available — and its finding that break rates FELL cuts against its own $452bn funding-gap headline.</t>
  </si>
  <si>
    <t xml:space="preserve">Break rates and material mix</t>
  </si>
  <si>
    <t xml:space="preserve">Material</t>
  </si>
  <si>
    <t xml:space="preserve">Breaks per 100 mi/yr</t>
  </si>
  <si>
    <t xml:space="preserve">Miles surveyed</t>
  </si>
  <si>
    <t xml:space="preserve">% of surveyed miles</t>
  </si>
  <si>
    <t xml:space="preserve">% over 50 yrs old</t>
  </si>
  <si>
    <t xml:space="preserve">Failure mechanism</t>
  </si>
  <si>
    <t xml:space="preserve">Cast iron</t>
  </si>
  <si>
    <t xml:space="preserve">Graphitic corrosion — iron matrix leaches away leaving a graphite skeleton that holds shape and pressure until it fails without warning. Plus tuberculation.</t>
  </si>
  <si>
    <t xml:space="preserve">Asbestos cement</t>
  </si>
  <si>
    <t xml:space="preserve">Cement matrix leaches from both faces; progressive wall-strength loss. Handling, worker-safety and disposal premiums on replacement.</t>
  </si>
  <si>
    <t xml:space="preserve">Steel</t>
  </si>
  <si>
    <t xml:space="preserve">External and internal corrosion; joint and weld failure.</t>
  </si>
  <si>
    <t xml:space="preserve">Ductile iron</t>
  </si>
  <si>
    <t xml:space="preserve">Corrosion where unprotected; polyethylene encasement materially extends life.</t>
  </si>
  <si>
    <t xml:space="preserve">PVC</t>
  </si>
  <si>
    <t xml:space="preserve">Low failure rate; failures typically installation-related or from impact/third-party damage.</t>
  </si>
  <si>
    <t xml:space="preserve">Total surveyed</t>
  </si>
  <si>
    <t xml:space="preserve">National average break rate</t>
  </si>
  <si>
    <t xml:space="preserve">Down from 14.0 in the 2018 study — a ~20% decline in five years.</t>
  </si>
  <si>
    <t xml:space="preserve">2018 study national average</t>
  </si>
  <si>
    <t xml:space="preserve">USU 2018</t>
  </si>
  <si>
    <t xml:space="preserve">Change 2018 to 2023</t>
  </si>
  <si>
    <t xml:space="preserve">THE COUNTER-EVIDENCE: the network is measurably getting MORE reliable, not less.</t>
  </si>
  <si>
    <t xml:space="preserve">Cast iron vs PVC failure ratio</t>
  </si>
  <si>
    <t xml:space="preserve">The single most defensible number in the replacement case.</t>
  </si>
  <si>
    <t xml:space="preserve">Asset inventory and condition</t>
  </si>
  <si>
    <t xml:space="preserve">Drinking water transmission and distribution mains</t>
  </si>
  <si>
    <t xml:space="preserve">EPA / ASCE</t>
  </si>
  <si>
    <t xml:space="preserve">Community water systems</t>
  </si>
  <si>
    <t xml:space="preserve">EPA — of 148,000+ public water systems total</t>
  </si>
  <si>
    <t xml:space="preserve">Public sewers</t>
  </si>
  <si>
    <t xml:space="preserve">ASCE — plus ~500,000 miles of private laterals</t>
  </si>
  <si>
    <t xml:space="preserve">Publicly owned treatment works</t>
  </si>
  <si>
    <t xml:space="preserve">EPA CWNS 2022 — serving 270.4m people, 82% of population</t>
  </si>
  <si>
    <t xml:space="preserve">POTW average utilisation of design capacity</t>
  </si>
  <si>
    <t xml:space="preserve">ASCE</t>
  </si>
  <si>
    <t xml:space="preserve">POTWs at or over design capacity</t>
  </si>
  <si>
    <t xml:space="preserve">Water mains over 50 years old</t>
  </si>
  <si>
    <t xml:space="preserve">USU 2023 — approximately 770,000 miles</t>
  </si>
  <si>
    <t xml:space="preserve">Water mains beyond useful life</t>
  </si>
  <si>
    <t xml:space="preserve">USU 2023 — approximately 452,000 miles</t>
  </si>
  <si>
    <t xml:space="preserve">Average age of failing water main</t>
  </si>
  <si>
    <t xml:space="preserve">years</t>
  </si>
  <si>
    <t xml:space="preserve">USU 2023</t>
  </si>
  <si>
    <t xml:space="preserve">Estimated cost to replace aging mains</t>
  </si>
  <si>
    <t xml:space="preserve">USU 2023, US and Canada</t>
  </si>
  <si>
    <t xml:space="preserve">Water main breaks per year</t>
  </si>
  <si>
    <t xml:space="preserve">USU 2023, US and Canada — one every two minutes</t>
  </si>
  <si>
    <t xml:space="preserve">Annual repair cost of those breaks</t>
  </si>
  <si>
    <t xml:space="preserve">Combined sewer communities</t>
  </si>
  <si>
    <t xml:space="preserve">EPA</t>
  </si>
  <si>
    <t xml:space="preserve">Untreated CSO discharge</t>
  </si>
  <si>
    <t xml:space="preserve">bn gallons/yr</t>
  </si>
  <si>
    <t xml:space="preserve">Implied average cost per break</t>
  </si>
  <si>
    <t xml:space="preserve">$</t>
  </si>
  <si>
    <t xml:space="preserve">Formula. Direct repair cost only — excludes boil-water notices, road closure and third-party damage.</t>
  </si>
  <si>
    <t xml:space="preserve">Demand — the evidence against capacity expansion</t>
  </si>
  <si>
    <t xml:space="preserve">Per capita withdrawal, 2000</t>
  </si>
  <si>
    <t xml:space="preserve">gal/capita/day</t>
  </si>
  <si>
    <t xml:space="preserve">2000</t>
  </si>
  <si>
    <t xml:space="preserve">USGS</t>
  </si>
  <si>
    <t xml:space="preserve">Per capita withdrawal, 2020</t>
  </si>
  <si>
    <t xml:space="preserve">2020</t>
  </si>
  <si>
    <t xml:space="preserve">Public-supply domestic per capita, 2010</t>
  </si>
  <si>
    <t xml:space="preserve">gal/day</t>
  </si>
  <si>
    <t xml:space="preserve">2010</t>
  </si>
  <si>
    <t xml:space="preserve">Public-supply domestic per capita, 2015</t>
  </si>
  <si>
    <t xml:space="preserve">2015</t>
  </si>
  <si>
    <t xml:space="preserve">Total US withdrawals, 2015</t>
  </si>
  <si>
    <t xml:space="preserve">bn gal/day</t>
  </si>
  <si>
    <t xml:space="preserve">USGS — down 9% from 2010</t>
  </si>
  <si>
    <t xml:space="preserve">Public-supply withdrawals fell even as population grew 4%. The sector's spending need is almost entirely RENEWAL, not expansion — which means capacity-expansion arguments outside data-centre and Sun Belt growth corridors are weak, and some existing infrastructure is oversized for current demand.</t>
  </si>
  <si>
    <t xml:space="preserve">Regulatory Drivers</t>
  </si>
  <si>
    <t xml:space="preserve">Legally dated obligations — the highest-conviction component of the forecast.</t>
  </si>
  <si>
    <t xml:space="preserve">Lead and Copper Rule Improvements</t>
  </si>
  <si>
    <t xml:space="preserve">Date / status</t>
  </si>
  <si>
    <t xml:space="preserve">National lead service lines</t>
  </si>
  <si>
    <t xml:space="preserve">EPA 7th DWINSA</t>
  </si>
  <si>
    <t xml:space="preserve">First-ever national count.</t>
  </si>
  <si>
    <t xml:space="preserve">EPA cost per line — low</t>
  </si>
  <si>
    <t xml:space="preserve">Utilities dispute as too low.</t>
  </si>
  <si>
    <t xml:space="preserve">EPA cost per line — high</t>
  </si>
  <si>
    <t xml:space="preserve">New York estimates up to $11,000.</t>
  </si>
  <si>
    <t xml:space="preserve">Implied national cost — low</t>
  </si>
  <si>
    <t xml:space="preserve">Consensus estimates cluster at $45-60bn.</t>
  </si>
  <si>
    <t xml:space="preserve">Implied national cost — high</t>
  </si>
  <si>
    <t xml:space="preserve">Dedicated IIJA funding</t>
  </si>
  <si>
    <t xml:space="preserve">Covers roughly a quarter to a third.</t>
  </si>
  <si>
    <t xml:space="preserve">Unfunded balance (midpoint)</t>
  </si>
  <si>
    <t xml:space="preserve">Must come from rates. This is the rate-driver, not the grant story.</t>
  </si>
  <si>
    <t xml:space="preserve">Baseline inventory / plan deadline</t>
  </si>
  <si>
    <t xml:space="preserve">1 November 2027</t>
  </si>
  <si>
    <t xml:space="preserve">Inventory, replacement plan, school and childcare list, updated sampling plan.</t>
  </si>
  <si>
    <t xml:space="preserve">Full replacement deadline</t>
  </si>
  <si>
    <t xml:space="preserve">2034-2037</t>
  </si>
  <si>
    <t xml:space="preserve">Ten years from compliance date, REGARDLESS of measured lead levels.</t>
  </si>
  <si>
    <t xml:space="preserve">Litigation</t>
  </si>
  <si>
    <t xml:space="preserve">Oral argument expected Fall 2026</t>
  </si>
  <si>
    <t xml:space="preserve">AWWA v. EPA — challenges mandated replacement of lines 'under the control' of the utility. THE LARGEST BINARY RISK IN THIS FORECAST.</t>
  </si>
  <si>
    <t xml:space="preserve">PFOA / PFOS maximum contaminant level</t>
  </si>
  <si>
    <t xml:space="preserve">ppt</t>
  </si>
  <si>
    <t xml:space="preserve">RETAINED</t>
  </si>
  <si>
    <t xml:space="preserve">EPA proposal of 18 May 2026 upholds these.</t>
  </si>
  <si>
    <t xml:space="preserve">Original compliance deadline</t>
  </si>
  <si>
    <t xml:space="preserve">26 April 2029</t>
  </si>
  <si>
    <t xml:space="preserve">2024 final rule.</t>
  </si>
  <si>
    <t xml:space="preserve">Proposed extended deadline</t>
  </si>
  <si>
    <t xml:space="preserve">26 April 2031</t>
  </si>
  <si>
    <t xml:space="preserve">On request, not automatic — EPA declined an automatic extension.</t>
  </si>
  <si>
    <t xml:space="preserve">PFHxS, PFNA, GenX, Hazard Index MCLs</t>
  </si>
  <si>
    <t xml:space="preserve">PROPOSED FOR RESCISSION</t>
  </si>
  <si>
    <t xml:space="preserve">On legal and procedural grounds under the SDWA, NOT on the health science.</t>
  </si>
  <si>
    <t xml:space="preserve">Comment period</t>
  </si>
  <si>
    <t xml:space="preserve">Closed 20 July 2026</t>
  </si>
  <si>
    <t xml:space="preserve">Public hearing held 7 July 2026.</t>
  </si>
  <si>
    <t xml:space="preserve">Sector treatment cost</t>
  </si>
  <si>
    <t xml:space="preserve">AWWA / Black &amp; Veatch</t>
  </si>
  <si>
    <t xml:space="preserve">Trade-association model produced to argue against a stricter rule.</t>
  </si>
  <si>
    <t xml:space="preserve">CERCLA disposal cost if designated</t>
  </si>
  <si>
    <t xml:space="preserve">potential</t>
  </si>
  <si>
    <t xml:space="preserve">Residuals disposal exposure.</t>
  </si>
  <si>
    <t xml:space="preserve">Household rate impact — low</t>
  </si>
  <si>
    <t xml:space="preserve">$ p.a.</t>
  </si>
  <si>
    <t xml:space="preserve">AWWA</t>
  </si>
  <si>
    <t xml:space="preserve">Household rate impact — high</t>
  </si>
  <si>
    <t xml:space="preserve">Worst for small systems, where fewer households share the cost.</t>
  </si>
  <si>
    <t xml:space="preserve">NET EFFECT of the 2026 proposals: the PFAS opportunity is SMALLER and LATER than the 2024 rule implied. Retaining only PFOA and PFOS reduces the number of systems triggered, and slipping compliance two years pushes capital into 2029-2031. Any model built on the full six-compound rule is stale.</t>
  </si>
  <si>
    <t xml:space="preserve">Other regulatory drivers</t>
  </si>
  <si>
    <t xml:space="preserve">Scale</t>
  </si>
  <si>
    <t xml:space="preserve">Mechanism</t>
  </si>
  <si>
    <t xml:space="preserve">CSO / SSO consent decrees</t>
  </si>
  <si>
    <t xml:space="preserve">communities</t>
  </si>
  <si>
    <t xml:space="preserve">Court-supervised Clean Water Act settlements</t>
  </si>
  <si>
    <t xml:space="preserve">A court order is not a budget line — non-deferrable, multi-decade.</t>
  </si>
  <si>
    <t xml:space="preserve">bn gal/yr</t>
  </si>
  <si>
    <t xml:space="preserve">Concentrated in older Northeast, Great Lakes and Pacific Northwest cities.</t>
  </si>
  <si>
    <t xml:space="preserve">POTW end-of-life</t>
  </si>
  <si>
    <t xml:space="preserve">yr design life</t>
  </si>
  <si>
    <t xml:space="preserve">1972 Clean Water Act cohort</t>
  </si>
  <si>
    <t xml:space="preserve">Equipment life 15-20 years; plants 40-50.</t>
  </si>
  <si>
    <t xml:space="preserve">Data centre water consumption today</t>
  </si>
  <si>
    <t xml:space="preserve">New demand</t>
  </si>
  <si>
    <t xml:space="preserve">Midpoint of 17-19bn.</t>
  </si>
  <si>
    <t xml:space="preserve">Data centre water consumption 2030</t>
  </si>
  <si>
    <t xml:space="preserve">Midpoint of 60-110bn. 97% supplied by municipal systems.</t>
  </si>
  <si>
    <t xml:space="preserve">Core &amp; Main (CNM)</t>
  </si>
  <si>
    <t xml:space="preserve">Fiscal years end the Sunday nearest 31 January and are labelled by end date. $m unless stated. Data sourced from Quartr.</t>
  </si>
  <si>
    <t xml:space="preserve">Income statement — five years</t>
  </si>
  <si>
    <t xml:space="preserve">$m</t>
  </si>
  <si>
    <t xml:space="preserve">FY end Jan-2022</t>
  </si>
  <si>
    <t xml:space="preserve">FY end Jan-2023</t>
  </si>
  <si>
    <t xml:space="preserve">FY end Jan-2024</t>
  </si>
  <si>
    <t xml:space="preserve">FY end Feb-2025</t>
  </si>
  <si>
    <t xml:space="preserve">FY end Feb-2026</t>
  </si>
  <si>
    <t xml:space="preserve">Net sales</t>
  </si>
  <si>
    <t xml:space="preserve">Quartr — standardised income statement</t>
  </si>
  <si>
    <t xml:space="preserve">  growth</t>
  </si>
  <si>
    <t xml:space="preserve">Gross profit</t>
  </si>
  <si>
    <t xml:space="preserve">Quartr</t>
  </si>
  <si>
    <t xml:space="preserve">  gross margin</t>
  </si>
  <si>
    <t xml:space="preserve">EBITDA (standardised)</t>
  </si>
  <si>
    <t xml:space="preserve">Quartr. Company-reported Adjusted EBITDA for FY end Feb-2026 was $931m.</t>
  </si>
  <si>
    <t xml:space="preserve">  EBITDA margin</t>
  </si>
  <si>
    <t xml:space="preserve">Operating income</t>
  </si>
  <si>
    <t xml:space="preserve">Net income</t>
  </si>
  <si>
    <t xml:space="preserve">Diluted EPS ($)</t>
  </si>
  <si>
    <t xml:space="preserve">Revenue CAGR, FY22 to FY26</t>
  </si>
  <si>
    <t xml:space="preserve">Formula. Includes the 2021-22 inflation surge.</t>
  </si>
  <si>
    <t xml:space="preserve">End-market and product mix — fiscal year ended 1 February 2026</t>
  </si>
  <si>
    <t xml:space="preserve">Segment</t>
  </si>
  <si>
    <t xml:space="preserve">% of net sales</t>
  </si>
  <si>
    <t xml:space="preserve">Implied $m</t>
  </si>
  <si>
    <t xml:space="preserve">Municipal</t>
  </si>
  <si>
    <t xml:space="preserve">Core &amp; Main Q1 FY2026 investor presentation, slide 12</t>
  </si>
  <si>
    <t xml:space="preserve">Non-residential</t>
  </si>
  <si>
    <t xml:space="preserve">Residential</t>
  </si>
  <si>
    <t xml:space="preserve">Total</t>
  </si>
  <si>
    <t xml:space="preserve">Split</t>
  </si>
  <si>
    <t xml:space="preserve">New construction</t>
  </si>
  <si>
    <t xml:space="preserve">Core &amp; Main Q1 FY2026 deck</t>
  </si>
  <si>
    <t xml:space="preserve">Repair and replace</t>
  </si>
  <si>
    <t xml:space="preserve">The least cyclical revenue in the sector — funded from rates and O&amp;M</t>
  </si>
  <si>
    <t xml:space="preserve">Market position and scale</t>
  </si>
  <si>
    <t xml:space="preserve">US total addressable market</t>
  </si>
  <si>
    <t xml:space="preserve">Core &amp; Main deck, based on third-party research</t>
  </si>
  <si>
    <t xml:space="preserve">US market share</t>
  </si>
  <si>
    <t xml:space="preserve">Core &amp; Main deck</t>
  </si>
  <si>
    <t xml:space="preserve">US + Canada TAM</t>
  </si>
  <si>
    <t xml:space="preserve">US + Canada market share</t>
  </si>
  <si>
    <t xml:space="preserve">Branches</t>
  </si>
  <si>
    <t xml:space="preserve">As at 3 May 2026</t>
  </si>
  <si>
    <t xml:space="preserve">Associates</t>
  </si>
  <si>
    <t xml:space="preserve">Customers</t>
  </si>
  <si>
    <t xml:space="preserve">Products</t>
  </si>
  <si>
    <t xml:space="preserve">Cross-check: TAM x share</t>
  </si>
  <si>
    <t xml:space="preserve">Formula. Compare with reported net sales of $7,647m — internally consistent.</t>
  </si>
  <si>
    <t xml:space="preserve">Q1 fiscal 2026 (quarter ended 3 May 2026) and guidance</t>
  </si>
  <si>
    <t xml:space="preserve">Q1 FY26</t>
  </si>
  <si>
    <t xml:space="preserve">Q1 FY25</t>
  </si>
  <si>
    <t xml:space="preserve">Change</t>
  </si>
  <si>
    <t xml:space="preserve">Net sales ($m)</t>
  </si>
  <si>
    <t xml:space="preserve">Gross profit ($m)</t>
  </si>
  <si>
    <t xml:space="preserve">Adjusted EBITDA ($m)</t>
  </si>
  <si>
    <t xml:space="preserve">Net income ($m)</t>
  </si>
  <si>
    <t xml:space="preserve">Gross margin</t>
  </si>
  <si>
    <t xml:space="preserve">+50bps</t>
  </si>
  <si>
    <t xml:space="preserve">Adjusted diluted EPS ($)</t>
  </si>
  <si>
    <t xml:space="preserve">+6%</t>
  </si>
  <si>
    <t xml:space="preserve">FY2026 guidance</t>
  </si>
  <si>
    <t xml:space="preserve">Low</t>
  </si>
  <si>
    <t xml:space="preserve">High</t>
  </si>
  <si>
    <t xml:space="preserve">vs FY2025</t>
  </si>
  <si>
    <t xml:space="preserve">Reaffirmed at Q1. Growth of 2-3%.</t>
  </si>
  <si>
    <t xml:space="preserve">FY2025 adjusted EBITDA was $931m</t>
  </si>
  <si>
    <t xml:space="preserve">Adjusted EBITDA margin</t>
  </si>
  <si>
    <t xml:space="preserve">FY2025 margin 12.2%</t>
  </si>
  <si>
    <t xml:space="preserve">Above-market growth initiatives</t>
  </si>
  <si>
    <t xml:space="preserve">Initiative</t>
  </si>
  <si>
    <t xml:space="preserve">5-yr sales CAGR</t>
  </si>
  <si>
    <t xml:space="preserve">Size</t>
  </si>
  <si>
    <t xml:space="preserve">Treatment plant solutions</t>
  </si>
  <si>
    <t xml:space="preserve">15-25%</t>
  </si>
  <si>
    <t xml:space="preserve">mid-single-digit % of net sales</t>
  </si>
  <si>
    <t xml:space="preserve">Aging facilities plus regulatory requirements; management: 'supported by durable funding' and 'non-discretionary'</t>
  </si>
  <si>
    <t xml:space="preserve">Smart utility / AMI metering</t>
  </si>
  <si>
    <t xml:space="preserve">not disclosed; growing double digits</t>
  </si>
  <si>
    <t xml:space="preserve">Multi-year municipal AMI programmes; non-revenue water economics</t>
  </si>
  <si>
    <t xml:space="preserve">The deck reports 15% and 25% five-year CAGRs for the two initiatives; the pairing is ambiguous in the source layout, so both are shown as a range rather than assigned. Management confirmed treatment plant is mid-single-digit % of sales and growing double digits.</t>
  </si>
  <si>
    <t xml:space="preserve">Ferguson Enterprises (FERG)</t>
  </si>
  <si>
    <t xml:space="preserve">Fiscal years ended 31 July through FY2025; the company then moved to a 31 December year end. $m. Data sourced from Quartr.</t>
  </si>
  <si>
    <t xml:space="preserve">Income statement — eight periods</t>
  </si>
  <si>
    <t xml:space="preserve">FY Jul-19</t>
  </si>
  <si>
    <t xml:space="preserve">FY Jul-20</t>
  </si>
  <si>
    <t xml:space="preserve">FY Jul-21</t>
  </si>
  <si>
    <t xml:space="preserve">FY Jul-22</t>
  </si>
  <si>
    <t xml:space="preserve">FY Jul-23</t>
  </si>
  <si>
    <t xml:space="preserve">FY Jul-24</t>
  </si>
  <si>
    <t xml:space="preserve">FY Jul-25</t>
  </si>
  <si>
    <t xml:space="preserve">CY Dec-25</t>
  </si>
  <si>
    <t xml:space="preserve">CY Dec-25 is a transition period, not comparable to the July years</t>
  </si>
  <si>
    <t xml:space="preserve">EBITDA</t>
  </si>
  <si>
    <t xml:space="preserve">Quartr; FY Jul-19 not available</t>
  </si>
  <si>
    <t xml:space="preserve">  operating margin</t>
  </si>
  <si>
    <t xml:space="preserve">US net sales by customer group — quarter ended 30 June 2026</t>
  </si>
  <si>
    <t xml:space="preserve">Customer group</t>
  </si>
  <si>
    <t xml:space="preserve">% of US sales</t>
  </si>
  <si>
    <t xml:space="preserve">Growth Q2 CY26</t>
  </si>
  <si>
    <t xml:space="preserve">Growth Q2 CY25</t>
  </si>
  <si>
    <t xml:space="preserve">Implied $m/qtr</t>
  </si>
  <si>
    <t xml:space="preserve">Waterworks</t>
  </si>
  <si>
    <t xml:space="preserve">Ferguson Q2 CY2026 deck, slide 7</t>
  </si>
  <si>
    <t xml:space="preserve">Ferguson Home</t>
  </si>
  <si>
    <t xml:space="preserve">Commercial / Mechanical</t>
  </si>
  <si>
    <t xml:space="preserve">Residential Trade Plumbing</t>
  </si>
  <si>
    <t xml:space="preserve">HVAC</t>
  </si>
  <si>
    <t xml:space="preserve">Industrial</t>
  </si>
  <si>
    <t xml:space="preserve">Facilities Supply</t>
  </si>
  <si>
    <t xml:space="preserve">Fire &amp; Fabrication</t>
  </si>
  <si>
    <t xml:space="preserve">US total</t>
  </si>
  <si>
    <t xml:space="preserve">US segment net sales, quarter ended 30 June 2026</t>
  </si>
  <si>
    <t xml:space="preserve">Canada</t>
  </si>
  <si>
    <t xml:space="preserve">Canada segment, same quarter</t>
  </si>
  <si>
    <t xml:space="preserve">Group total</t>
  </si>
  <si>
    <t xml:space="preserve">Quarter ended 30 June 2026</t>
  </si>
  <si>
    <t xml:space="preserve">Waterworks revenue — ESTIMATE, not a reported figure</t>
  </si>
  <si>
    <t xml:space="preserve">Group revenue, calendar 2025</t>
  </si>
  <si>
    <t xml:space="preserve">Reported</t>
  </si>
  <si>
    <t xml:space="preserve">Canada, annualised from Q2</t>
  </si>
  <si>
    <t xml:space="preserve">ESTIMATE — $408m x 4</t>
  </si>
  <si>
    <t xml:space="preserve">Implied US revenue</t>
  </si>
  <si>
    <t xml:space="preserve">Waterworks share — full-year low</t>
  </si>
  <si>
    <t xml:space="preserve">ESTIMATE. Q2 is seasonally the strongest waterworks quarter, so the reported 24% overstates the full-year share.</t>
  </si>
  <si>
    <t xml:space="preserve">Waterworks share — Q2 reported</t>
  </si>
  <si>
    <t xml:space="preserve">Estimated waterworks revenue — low</t>
  </si>
  <si>
    <t xml:space="preserve">Estimated waterworks revenue — high</t>
  </si>
  <si>
    <t xml:space="preserve">  as % of group revenue</t>
  </si>
  <si>
    <t xml:space="preserve">Other</t>
  </si>
  <si>
    <t xml:space="preserve">Large capital projects, % of group revenue</t>
  </si>
  <si>
    <t xml:space="preserve">Mid- to high-single-digit and trending up. Backlogs building above realised growth rates, incl. waterworks.</t>
  </si>
  <si>
    <t xml:space="preserve">Commodities, % of revenue</t>
  </si>
  <si>
    <t xml:space="preserve">PVC still in double-digit deflation in Q2 CY26.</t>
  </si>
  <si>
    <t xml:space="preserve">FloWorks acquisition — price</t>
  </si>
  <si>
    <t xml:space="preserve">~$1bn revenue; ~10x LTM adjusted EBITDA incl. synergies; expected close Q3 2026.</t>
  </si>
  <si>
    <t xml:space="preserve">FloWorks — expected annual synergies</t>
  </si>
  <si>
    <t xml:space="preserve">Cross-sell into waterworks, commercial/mechanical and industrial.</t>
  </si>
  <si>
    <t xml:space="preserve">Net debt : adjusted EBITDA</t>
  </si>
  <si>
    <t xml:space="preserve">x</t>
  </si>
  <si>
    <t xml:space="preserve">Target range 1-2x; ~1.8x expected at FloWorks closing.</t>
  </si>
  <si>
    <t xml:space="preserve">CY2026 operating margin guidance — low</t>
  </si>
  <si>
    <t xml:space="preserve">Raised at Q2.</t>
  </si>
  <si>
    <t xml:space="preserve">CY2026 operating margin guidance — high</t>
  </si>
  <si>
    <t xml:space="preserve">Core &amp; Main vs Ferguson</t>
  </si>
  <si>
    <t xml:space="preserve">Two very different ways to own the same theme. Sensitivity computed by formula.</t>
  </si>
  <si>
    <t xml:space="preserve">Side by side</t>
  </si>
  <si>
    <t xml:space="preserve">Core &amp; Main</t>
  </si>
  <si>
    <t xml:space="preserve">Latest full-year revenue ($m)</t>
  </si>
  <si>
    <t xml:space="preserve">CNM: FY ended 1 Feb 2026. FERG: calendar 2025.</t>
  </si>
  <si>
    <t xml:space="preserve">Estimated waterworks revenue ($m)</t>
  </si>
  <si>
    <t xml:space="preserve">CNM is 100% water. FERG figure is an ESTIMATE — see Ferguson tab.</t>
  </si>
  <si>
    <t xml:space="preserve">Municipal revenue ($m)</t>
  </si>
  <si>
    <t xml:space="preserve">n/d</t>
  </si>
  <si>
    <t xml:space="preserve">Ferguson does not disclose a municipal split.</t>
  </si>
  <si>
    <t xml:space="preserve">Profitability margin</t>
  </si>
  <si>
    <t xml:space="preserve">CNM adjusted EBITDA margin FY2025. FERG adjusted operating margin Q2 CY26 — not like for like.</t>
  </si>
  <si>
    <t xml:space="preserve">Repair &amp; replace share</t>
  </si>
  <si>
    <t xml:space="preserve">CNM deck. Ferguson does not disclose.</t>
  </si>
  <si>
    <t xml:space="preserve">Combined market position</t>
  </si>
  <si>
    <t xml:space="preserve">Combined waterworks revenue ($m)</t>
  </si>
  <si>
    <t xml:space="preserve">US TAM ($m)</t>
  </si>
  <si>
    <t xml:space="preserve">Combined share of US TAM</t>
  </si>
  <si>
    <t xml:space="preserve">A duopoly at the head of a long fragmented tail — the structural reason both can consolidate and hold pricing.</t>
  </si>
  <si>
    <t xml:space="preserve">Sensitivity — what 100bp of market growth is actually worth</t>
  </si>
  <si>
    <t xml:space="preserve">Exposed revenue base ($m)</t>
  </si>
  <si>
    <t xml:space="preserve">CNM: municipal revenue. FERG: estimated waterworks revenue.</t>
  </si>
  <si>
    <t xml:space="preserve">Market growth change</t>
  </si>
  <si>
    <t xml:space="preserve">Editable — change to test other increments.</t>
  </si>
  <si>
    <t xml:space="preserve">Revenue impact ($m)</t>
  </si>
  <si>
    <t xml:space="preserve">THE NUMBER MOST INVESTORS GET WRONG. Even for the pure play this is under half a percent.</t>
  </si>
  <si>
    <t xml:space="preserve">EBITDA impact ($m)</t>
  </si>
  <si>
    <t xml:space="preserve">At current margins. Incremental margin on distribution volume is typically higher.</t>
  </si>
  <si>
    <t xml:space="preserve">IIJA peak drag scenario</t>
  </si>
  <si>
    <t xml:space="preserve">Market growth points lost at peak</t>
  </si>
  <si>
    <t xml:space="preserve">Midpoint of the 1.0-1.5pt range, concentrated in 2029-2030 — see Forward Model.</t>
  </si>
  <si>
    <t xml:space="preserve">Revenue growth impact</t>
  </si>
  <si>
    <t xml:space="preserve">Formula. Well under 100bps for either company.</t>
  </si>
  <si>
    <t xml:space="preserve">Residential construction — 18% of Core &amp; Main's mix and about half of Ferguson's US mix — moves both companies materially more than the federal funding question does. That is the risk worth underwriting.</t>
  </si>
  <si>
    <t xml:space="preserve">Every figure below is a live link to the tab that derives it.</t>
  </si>
  <si>
    <t xml:space="preserve">The funding map</t>
  </si>
  <si>
    <t xml:space="preserve">Reads</t>
  </si>
  <si>
    <t xml:space="preserve">CBO. Federal policy sets rules far more powerfully than it sets budgets.</t>
  </si>
  <si>
    <t xml:space="preserve">Water utilities total spending, 2023</t>
  </si>
  <si>
    <t xml:space="preserve">CBO — of which capital is the minority.</t>
  </si>
  <si>
    <t xml:space="preserve">The anchor for the forward model.</t>
  </si>
  <si>
    <t xml:space="preserve">Water and sewer bill increase, 2025</t>
  </si>
  <si>
    <t xml:space="preserve">Bluefield. The variable that matters most for distributor revenue.</t>
  </si>
  <si>
    <t xml:space="preserve">The forward model</t>
  </si>
  <si>
    <t xml:space="preserve">2026 capital base</t>
  </si>
  <si>
    <t xml:space="preserve">Reconciliation of four independent sources.</t>
  </si>
  <si>
    <t xml:space="preserve">2030 total spending (base case)</t>
  </si>
  <si>
    <t xml:space="preserve">2035 total spending (base case)</t>
  </si>
  <si>
    <t xml:space="preserve">Mid-single-digit nominal. Not a boom and not a bust.</t>
  </si>
  <si>
    <t xml:space="preserve">Net IIJA drag as % of base</t>
  </si>
  <si>
    <t xml:space="preserve">The honest measure of the cliff — not the 100% often assumed.</t>
  </si>
  <si>
    <t xml:space="preserve">2035 bear case</t>
  </si>
  <si>
    <t xml:space="preserve">2035 bull case</t>
  </si>
  <si>
    <t xml:space="preserve">No credible scenario has spending falling in nominal terms.</t>
  </si>
  <si>
    <t xml:space="preserve">The engineering evidence</t>
  </si>
  <si>
    <t xml:space="preserve">Change in national break rate, 2018-2023</t>
  </si>
  <si>
    <t xml:space="preserve">THE COUNTER-EVIDENCE. The network is getting more reliable, not less.</t>
  </si>
  <si>
    <t xml:space="preserve">Hard legal replacement mandate.</t>
  </si>
  <si>
    <t xml:space="preserve">Lead replacement unfunded balance</t>
  </si>
  <si>
    <t xml:space="preserve">Must come from rates. This is the rate-driver.</t>
  </si>
  <si>
    <t xml:space="preserve">The companies</t>
  </si>
  <si>
    <t xml:space="preserve">Core &amp; Main revenue ($m)</t>
  </si>
  <si>
    <t xml:space="preserve">FY ended 1 Feb 2026.</t>
  </si>
  <si>
    <t xml:space="preserve">Ferguson revenue ($m)</t>
  </si>
  <si>
    <t xml:space="preserve">Calendar 2025.</t>
  </si>
  <si>
    <t xml:space="preserve">A duopoly at the head of a fragmented tail.</t>
  </si>
  <si>
    <t xml:space="preserve">100bp market growth — CNM revenue impact</t>
  </si>
  <si>
    <t xml:space="preserve">% of sales</t>
  </si>
  <si>
    <t xml:space="preserve">The IIJA cliff is worth less than this to either company.</t>
  </si>
  <si>
    <t xml:space="preserve">100bp market growth — FERG revenue impact</t>
  </si>
  <si>
    <t xml:space="preserve">VERIFY BEFORE USE: public-sector figures in this workbook were obtained via search results summarising primary documents, because this environment's network policy blocked direct access to cbo.gov, epa.gov, census.gov, congress.gov and fred.stlouisfed.org. Company financials came from Quartr's primary filings and do not carry this caveat. See the Read Me tab.</t>
  </si>
  <si>
    <t xml:space="preserve">Pipe Age and Repair History — What Is Public</t>
  </si>
  <si>
    <t xml:space="preserve">Where segment-level installation year and repair history can actually be obtained.</t>
  </si>
  <si>
    <t xml:space="preserve">The structural gap</t>
  </si>
  <si>
    <t xml:space="preserve">Sector</t>
  </si>
  <si>
    <t xml:space="preserve">National age registry?</t>
  </si>
  <si>
    <t xml:space="preserve">Granularity</t>
  </si>
  <si>
    <t xml:space="preserve">Publisher</t>
  </si>
  <si>
    <t xml:space="preserve">Natural gas + hazardous liquid</t>
  </si>
  <si>
    <t xml:space="preserve">YES</t>
  </si>
  <si>
    <t xml:space="preserve">National, by decade</t>
  </si>
  <si>
    <t xml:space="preserve">PHMSA</t>
  </si>
  <si>
    <t xml:space="preserve">By-Decade Inventory: mileage by decade of installation for gas distribution, gas transmission and hazardous liquid. Operators must file annual reports covering age, length, diameter, material.</t>
  </si>
  <si>
    <t xml:space="preserve">Water and wastewater</t>
  </si>
  <si>
    <t xml:space="preserve">NO</t>
  </si>
  <si>
    <t xml:space="preserve">None</t>
  </si>
  <si>
    <t xml:space="preserve">—</t>
  </si>
  <si>
    <t xml:space="preserve">No federal reporting requirement for pipe age. SDWIS carries compliance and violations but no distribution-system asset inventory. Responsibility sits with ~50,000 community water systems.</t>
  </si>
  <si>
    <t xml:space="preserve">CONSEQUENCE: every national water pipe-age figure in this workbook is a survey estimate, not a census. The USU study covers ~400,000 miles — over 17% of the 2.3m miles in the US and Canada.</t>
  </si>
  <si>
    <t xml:space="preserve">Tier 1 — asset-level and genuinely public</t>
  </si>
  <si>
    <t xml:space="preserve">Source type</t>
  </si>
  <si>
    <t xml:space="preserve">What it contains</t>
  </si>
  <si>
    <t xml:space="preserve">Cost</t>
  </si>
  <si>
    <t xml:space="preserve">Examples and caveats</t>
  </si>
  <si>
    <t xml:space="preserve">Municipal GIS open-data portals</t>
  </si>
  <si>
    <t xml:space="preserve">Water main layer: installation year, material, diameter, length, sometimes lining status</t>
  </si>
  <si>
    <t xml:space="preserve">Pipe segment</t>
  </si>
  <si>
    <t xml:space="preserve">Free</t>
  </si>
  <si>
    <t xml:space="preserve">Seattle Public Utilities Water Mains (incl. a 'Presumed Unlined' condition layer); Open Data DC; federated search via catalog.data.gov. THE BEST SOURCE FOR PIPE AGE. Install year often null on the oldest segments — precisely the ones that matter.</t>
  </si>
  <si>
    <t xml:space="preserve">Water main break datasets</t>
  </si>
  <si>
    <t xml:space="preserve">Break location and date</t>
  </si>
  <si>
    <t xml:space="preserve">Point location</t>
  </si>
  <si>
    <t xml:space="preserve">DC Water publishes five years of breaks, updated weekly. Records FAILURES, not planned replacement — a segment replaced on schedule generates no record.</t>
  </si>
  <si>
    <t xml:space="preserve">Street opening / excavation permits</t>
  </si>
  <si>
    <t xml:space="preserve">Who dug, where, when, why</t>
  </si>
  <si>
    <t xml:space="preserve">Street segment</t>
  </si>
  <si>
    <t xml:space="preserve">NYCStreets permit management; Chicago CDOT Office of Underground Coordination. The best available proxy for LAST PERIOD OF REPAIR, and it captures planned work that break data misses.</t>
  </si>
  <si>
    <t xml:space="preserve">Lead service line inventories</t>
  </si>
  <si>
    <t xml:space="preserve">Service line material by location incl. lead, galvanized-requiring-replacement and unknown</t>
  </si>
  <si>
    <t xml:space="preserve">Address / parcel</t>
  </si>
  <si>
    <t xml:space="preserve">Mandatory public accessibility since 16 Oct 2024; systems &gt;50,000 must publish online. Baseline inventory and replacement plan due 1 Nov 2027, updated ANNUALLY. State dashboards: New York, Minnesota.</t>
  </si>
  <si>
    <t xml:space="preserve">Tier 2 — system-level, and the most useful for an investor</t>
  </si>
  <si>
    <t xml:space="preserve">Municipal bond official statements</t>
  </si>
  <si>
    <t xml:space="preserve">System description: miles of main, material mix, age profile, capital plan, replacement rates, rate history</t>
  </si>
  <si>
    <t xml:space="preserve">Utility</t>
  </si>
  <si>
    <t xml:space="preserve">MSRB EMMA — official statements for essentially every muni bond since 1990, plus continuing disclosure. Disclosure liability compels the issuer to describe the asset. HIGHEST-DENSITY PUBLIC SOURCE.</t>
  </si>
  <si>
    <t xml:space="preserve">Asset management plans / CIPs</t>
  </si>
  <si>
    <t xml:space="preserve">Segment register with material, diameter, install year, replacement value, maintenance history; sequenced CIP</t>
  </si>
  <si>
    <t xml:space="preserve">Published directly by some utilities, e.g. Sacramento Suburban Water District's Distribution Main Asset Management Plan. Availability is patchy.</t>
  </si>
  <si>
    <t xml:space="preserve">Investor-owned utility 10-Ks</t>
  </si>
  <si>
    <t xml:space="preserve">Replacement cycle, miles to be replaced, capital plans</t>
  </si>
  <si>
    <t xml:space="preserve">Company</t>
  </si>
  <si>
    <t xml:space="preserve">American Water: renewal rate improved from a 250-year cycle (2009) to ~125-year by 2028; ~2,000 miles 2024-2028; $34-38bn over ten years. An SEC filing, not an advocacy report.</t>
  </si>
  <si>
    <t xml:space="preserve">State PUC rate-case dockets</t>
  </si>
  <si>
    <t xml:space="preserve">Depreciation studies with assumed service lives by asset class; plant-in-service vintage</t>
  </si>
  <si>
    <t xml:space="preserve">Company / asset class</t>
  </si>
  <si>
    <t xml:space="preserve">Public docket filings, state by state.</t>
  </si>
  <si>
    <t xml:space="preserve">System condition assessments and dated remediation schedules</t>
  </si>
  <si>
    <t xml:space="preserve">System</t>
  </si>
  <si>
    <t xml:space="preserve">DOJ/EPA lodged decrees. Effectively a court-supervised published asset plan.</t>
  </si>
  <si>
    <t xml:space="preserve">Tier 3 — national aggregates (estimates, not censuses)</t>
  </si>
  <si>
    <t xml:space="preserve">What it gives</t>
  </si>
  <si>
    <t xml:space="preserve">Coverage</t>
  </si>
  <si>
    <t xml:space="preserve">Limitation</t>
  </si>
  <si>
    <t xml:space="preserve">USU Water Main Break Rates (Dec 2023)</t>
  </si>
  <si>
    <t xml:space="preserve">Break rate and age by material; avg failure age 53 yrs; 33% of mains &gt;50 yrs</t>
  </si>
  <si>
    <t xml:space="preserve">802 utilities, ~400,000 miles</t>
  </si>
  <si>
    <t xml:space="preserve">&gt;17% of the 2.3m miles in US+Canada. Best available, still a sample.</t>
  </si>
  <si>
    <t xml:space="preserve">EPA CWNS 2022</t>
  </si>
  <si>
    <t xml:space="preserve">FACILITY-LEVEL project and needs data, downloadable CSV or Access</t>
  </si>
  <si>
    <t xml:space="preserve">All states, 100% participation</t>
  </si>
  <si>
    <t xml:space="preserve">Projects and costs, NOT pipe age. Wastewater only.</t>
  </si>
  <si>
    <t xml:space="preserve">National and state needs; 9.2m lead service lines</t>
  </si>
  <si>
    <t xml:space="preserve">National</t>
  </si>
  <si>
    <t xml:space="preserve">Aggregated. Underlying utility responses are not public.</t>
  </si>
  <si>
    <t xml:space="preserve">UMich Center for Sustainable Systems</t>
  </si>
  <si>
    <t xml:space="preserve">Average age of US water pipes 45 years (2020), up from 25 (1970)</t>
  </si>
  <si>
    <t xml:space="preserve">Derived estimate, not a measurement.</t>
  </si>
  <si>
    <t xml:space="preserve">What does not exist</t>
  </si>
  <si>
    <t xml:space="preserve">Status</t>
  </si>
  <si>
    <t xml:space="preserve">Federal water analogue to PHMSA By-Decade Inventory</t>
  </si>
  <si>
    <t xml:space="preserve">DOES NOT EXIST</t>
  </si>
  <si>
    <t xml:space="preserve">No agency collects water pipe age.</t>
  </si>
  <si>
    <t xml:space="preserve">SDWIS distribution-system asset inventory</t>
  </si>
  <si>
    <t xml:space="preserve">SDWIS covers compliance, violations, enforcement and basic system inventory only.</t>
  </si>
  <si>
    <t xml:space="preserve">PIPEiD (Virginia Tech SWIM Center)</t>
  </si>
  <si>
    <t xml:space="preserve">EXISTS BUT NOT OPEN</t>
  </si>
  <si>
    <t xml:space="preserve">Bureau of Reclamation funded; data from 500+ US water utilities and 100 federal facilities. A SECURED utility decision-support platform, not an open dataset. Its existence is the clearest evidence the gap is real and recognised.</t>
  </si>
  <si>
    <t xml:space="preserve">AWIA s.2013 risk and resilience assessments</t>
  </si>
  <si>
    <t xml:space="preserve">CONFIDENTIAL BY STATUTE</t>
  </si>
  <si>
    <t xml:space="preserve">Deliberately withheld on security grounds.</t>
  </si>
  <si>
    <t xml:space="preserve">Recipe for a bottom-up demand estimate</t>
  </si>
  <si>
    <t xml:space="preserve">Action</t>
  </si>
  <si>
    <t xml:space="preserve">Output</t>
  </si>
  <si>
    <t xml:space="preserve">1</t>
  </si>
  <si>
    <t xml:space="preserve">Select the 20-30 utilities with the largest capital programmes</t>
  </si>
  <si>
    <t xml:space="preserve">Identifiable from EMMA issuance volume and CWNS project data</t>
  </si>
  <si>
    <t xml:space="preserve">2</t>
  </si>
  <si>
    <t xml:space="preserve">Pull each water main GIS layer; build a vintage histogram</t>
  </si>
  <si>
    <t xml:space="preserve">Miles by installation decade and material; implied replacement rate from year-on-year layer changes</t>
  </si>
  <si>
    <t xml:space="preserve">3</t>
  </si>
  <si>
    <t xml:space="preserve">Pull the EMMA official statement and CIP</t>
  </si>
  <si>
    <t xml:space="preserve">Stated forward capital plan; continuing disclosure gives actuals vs plan</t>
  </si>
  <si>
    <t xml:space="preserve">4</t>
  </si>
  <si>
    <t xml:space="preserve">Pull the LSL inventory, and from Nov 2027 the annual replacement plan</t>
  </si>
  <si>
    <t xml:space="preserve">Service line counts and realised replacement pace</t>
  </si>
  <si>
    <t xml:space="preserve">5</t>
  </si>
  <si>
    <t xml:space="preserve">Pull break datasets and street-opening permits</t>
  </si>
  <si>
    <t xml:space="preserve">Validation that stated replacement is physically happening</t>
  </si>
  <si>
    <t xml:space="preserve">LIMITATIONS. Coverage skews to large, well-resourced utilities — most of the ~50,000 community water systems publish nothing, so extrapolating from the transparent ones overstates system quality and understates need. Installation year is frequently null on the oldest segments. 'Last repair' is almost never an attribute — breaks and permits are proxies, and both miss trenchless rehabilitation such as CIPP lining and pipe bursting. Schemas are not standardised across utilities, which is the specific problem PIPEiD exists to solve and has not solved.</t>
  </si>
  <si>
    <t xml:space="preserve">VERIFICATION CAVEAT: none of these portals could be opened from the session that produced this workbook — the environment's egress allowlist blocks all external hosts. Descriptions are built from search evidence about what these sources contain, not from inspecting them. Confirm each dataset's actual schema, and how sparsely the installation-year field is populated, before relying on it.</t>
  </si>
  <si>
    <t xml:space="preserve">Annual Data — As Far Back As Available</t>
  </si>
  <si>
    <t xml:space="preserve">Company data downloaded from Quartr, one column per fiscal year. Macro data compiled with sources and retrieval routes. $m unless stated.</t>
  </si>
  <si>
    <t xml:space="preserve">Core &amp; Main (CNM) — fiscal years ended the Sunday nearest 31 January</t>
  </si>
  <si>
    <t xml:space="preserve">FY2022</t>
  </si>
  <si>
    <t xml:space="preserve">FY2023</t>
  </si>
  <si>
    <t xml:space="preserve">FY2024</t>
  </si>
  <si>
    <t xml:space="preserve">Period end</t>
  </si>
  <si>
    <t xml:space="preserve">2022-01-30</t>
  </si>
  <si>
    <t xml:space="preserve">2023-01-29</t>
  </si>
  <si>
    <t xml:space="preserve">2024-01-28</t>
  </si>
  <si>
    <t xml:space="preserve">2025-02-02</t>
  </si>
  <si>
    <t xml:space="preserve">2026-02-01</t>
  </si>
  <si>
    <t xml:space="preserve">Quartr, standardised from primary filings</t>
  </si>
  <si>
    <t xml:space="preserve">see period columns</t>
  </si>
  <si>
    <t xml:space="preserve">Company-reported Adjusted EBITDA for FY2025 was $931m</t>
  </si>
  <si>
    <t xml:space="preserve">Cash from operations</t>
  </si>
  <si>
    <t xml:space="preserve">Capital expenditure (abs)</t>
  </si>
  <si>
    <t xml:space="preserve">Sign convention varies in the vendor feed; absolute values used</t>
  </si>
  <si>
    <t xml:space="preserve">Free cash flow</t>
  </si>
  <si>
    <t xml:space="preserve">Formula: CFO less capex. Computed rather than taken from the vendor FCF field</t>
  </si>
  <si>
    <t xml:space="preserve">  FCF conversion of EBITDA</t>
  </si>
  <si>
    <t xml:space="preserve">Capex as % of sales</t>
  </si>
  <si>
    <t xml:space="preserve">Formula. Asset-light distribution model</t>
  </si>
  <si>
    <t xml:space="preserve">Quartr's coverage of Core &amp; Main begins with the fiscal year ended 30 January 2022. The company IPO'd in July 2021, so this is effectively the full listed history.</t>
  </si>
  <si>
    <t xml:space="preserve">Ferguson (FERG) — fiscal years ended 31 July through FY2025, then a 31 December year end</t>
  </si>
  <si>
    <t xml:space="preserve">FY2018</t>
  </si>
  <si>
    <t xml:space="preserve">FY2019</t>
  </si>
  <si>
    <t xml:space="preserve">FY2020</t>
  </si>
  <si>
    <t xml:space="preserve">CY2025</t>
  </si>
  <si>
    <t xml:space="preserve">2018-07-31</t>
  </si>
  <si>
    <t xml:space="preserve">2019-07-31</t>
  </si>
  <si>
    <t xml:space="preserve">2020-07-31</t>
  </si>
  <si>
    <t xml:space="preserve">2021-07-31</t>
  </si>
  <si>
    <t xml:space="preserve">2022-07-31</t>
  </si>
  <si>
    <t xml:space="preserve">2023-07-31</t>
  </si>
  <si>
    <t xml:space="preserve">2024-07-31</t>
  </si>
  <si>
    <t xml:space="preserve">2025-07-31</t>
  </si>
  <si>
    <t xml:space="preserve">2025-12-31</t>
  </si>
  <si>
    <t xml:space="preserve">Formula. CY2025 is a transition period — NOT comparable to the July years</t>
  </si>
  <si>
    <t xml:space="preserve">FY2019 not available in the vendor feed</t>
  </si>
  <si>
    <t xml:space="preserve">Pre-FY2022 EPS reflects the pre-US-listing share structure and is not comparable</t>
  </si>
  <si>
    <t xml:space="preserve">Formula: CFO less capex. The vendor FCF field is unreliable for FY2024 and is not used</t>
  </si>
  <si>
    <t xml:space="preserve">DATA QUALITY: Quartr's coverage of Ferguson begins with the fiscal year ended 31 July 2018. The company reported as a UK-listed group before its US primary listing, and moved from a July to a December year end in 2025 — so CY2025 is a transition period and its growth rate against FY2025 is not a like-for-like comparison. The FY2024 vendor cash-flow record also carries financing lines in thousands rather than millions; those lines are excluded here.</t>
  </si>
  <si>
    <t xml:space="preserve">Macro series — compiled, with source and retrieval route</t>
  </si>
  <si>
    <t xml:space="preserve">COMPILED, NOT DOWNLOADED. Direct retrieval was blocked from the build environment (see Read Me). Each row carries the publisher, a link, and the exact route to refresh it automatically — FRED series ID, CRS table reference or EPA data portal. Values are as published.</t>
  </si>
  <si>
    <t xml:space="preserve">Series</t>
  </si>
  <si>
    <t xml:space="preserve">Link / retrieval route</t>
  </si>
  <si>
    <t xml:space="preserve">Public spending, transportation + water infrastructure</t>
  </si>
  <si>
    <t xml:space="preserve">2023</t>
  </si>
  <si>
    <t xml:space="preserve">link</t>
  </si>
  <si>
    <t xml:space="preserve">CBO, Public Spending on Transportation and Water Infrastructure 1956-2023 (Feb 2025)</t>
  </si>
  <si>
    <t xml:space="preserve">CBO publishes a supplementary data workbook with the full 1956-2023 series</t>
  </si>
  <si>
    <t xml:space="preserve">Same workbook</t>
  </si>
  <si>
    <t xml:space="preserve">CBO via USAFacts</t>
  </si>
  <si>
    <t xml:space="preserve">CBO supplementary workbook, water utilities series 1956-2023</t>
  </si>
  <si>
    <t xml:space="preserve">Water utilities — capital</t>
  </si>
  <si>
    <t xml:space="preserve">CBO supplementary workbook. ANCHOR FOR THE FORWARD MODEL BASE</t>
  </si>
  <si>
    <t xml:space="preserve">Water utilities — operations &amp; maintenance</t>
  </si>
  <si>
    <t xml:space="preserve">CBO supplementary workbook</t>
  </si>
  <si>
    <t xml:space="preserve">State + local share of water infrastructure</t>
  </si>
  <si>
    <t xml:space="preserve">State + local share of all public infrastructure</t>
  </si>
  <si>
    <t xml:space="preserve">$494.2bn of $625.8bn</t>
  </si>
  <si>
    <t xml:space="preserve">O&amp;M share of all public infrastructure spending</t>
  </si>
  <si>
    <t xml:space="preserve">$355bn of $625.8bn</t>
  </si>
  <si>
    <t xml:space="preserve">Construction put in place — water supply, total</t>
  </si>
  <si>
    <t xml:space="preserve">Jan-2026 SAAR</t>
  </si>
  <si>
    <t xml:space="preserve">US Census Bureau C30</t>
  </si>
  <si>
    <t xml:space="preserve">FRED series TLWSCONS (SAAR) / TLWSCON (NSA monthly, sum for annual)</t>
  </si>
  <si>
    <t xml:space="preserve">Construction put in place — water supply, public</t>
  </si>
  <si>
    <t xml:space="preserve">FRED series PBWSCONS (SAAR) / PBWSCON (NSA monthly). History from 2002</t>
  </si>
  <si>
    <t xml:space="preserve">Construction put in place — sewage &amp; waste disposal, total</t>
  </si>
  <si>
    <t xml:space="preserve">FRED series TLSWDCONS / TLSWDCON. CAUTION: includes solid waste facilities</t>
  </si>
  <si>
    <t xml:space="preserve">Construction put in place — sewage &amp; waste disposal, public</t>
  </si>
  <si>
    <t xml:space="preserve">FRED series PBSWGCONS / PBSWGCON</t>
  </si>
  <si>
    <t xml:space="preserve">Report PDF, annual detail inside</t>
  </si>
  <si>
    <t xml:space="preserve">Report PDF</t>
  </si>
  <si>
    <t xml:space="preserve">All public community-asset capital spending</t>
  </si>
  <si>
    <t xml:space="preserve">+76% over 2012</t>
  </si>
  <si>
    <t xml:space="preserve">Total annual SRF funding (federal)</t>
  </si>
  <si>
    <t xml:space="preserve">CRS appropriations tables give the full fiscal-year series</t>
  </si>
  <si>
    <t xml:space="preserve">Total annual SRF funding (federal, incl. IIJA)</t>
  </si>
  <si>
    <t xml:space="preserve">CRS IF13177 Table 1</t>
  </si>
  <si>
    <t xml:space="preserve">CRS R47474</t>
  </si>
  <si>
    <t xml:space="preserve">CRS IF12950 Table 1</t>
  </si>
  <si>
    <t xml:space="preserve">EPA water infrastructure programmes — total enacted</t>
  </si>
  <si>
    <t xml:space="preserve">P.L. 119-4, via CRS</t>
  </si>
  <si>
    <t xml:space="preserve">P.L. 119-74, via CRS</t>
  </si>
  <si>
    <t xml:space="preserve">Flat vs FY2025</t>
  </si>
  <si>
    <t xml:space="preserve">Drinking Water SRF — House proposal</t>
  </si>
  <si>
    <t xml:space="preserve">House Appropriations Cttee markup</t>
  </si>
  <si>
    <t xml:space="preserve">Down from $1.126bn FY2026</t>
  </si>
  <si>
    <t xml:space="preserve">SRF proposed change</t>
  </si>
  <si>
    <t xml:space="preserve">Committee report</t>
  </si>
  <si>
    <t xml:space="preserve">IIJA — Clean Water SRF supplemental</t>
  </si>
  <si>
    <t xml:space="preserve">IIJA (P.L. 117-58), via CRS</t>
  </si>
  <si>
    <t xml:space="preserve">EPA BIL fact sheet</t>
  </si>
  <si>
    <t xml:space="preserve">IIJA — Drinking Water SRF supplemental</t>
  </si>
  <si>
    <t xml:space="preserve">IIJA, via CRS</t>
  </si>
  <si>
    <t xml:space="preserve">IIJA — lead service line replacement</t>
  </si>
  <si>
    <t xml:space="preserve">IIJA — emerging contaminants (PFAS)</t>
  </si>
  <si>
    <t xml:space="preserve">May-2026</t>
  </si>
  <si>
    <t xml:space="preserve">EPA WIFIA</t>
  </si>
  <si>
    <t xml:space="preserve">EPA publishes a closed-loans list</t>
  </si>
  <si>
    <t xml:space="preserve">EPA closed-loans list</t>
  </si>
  <si>
    <t xml:space="preserve">WIFIA — closings</t>
  </si>
  <si>
    <t xml:space="preserve">WRDA 2026 — CWSRF authorisation (4 yrs)</t>
  </si>
  <si>
    <t xml:space="preserve">2026 bill</t>
  </si>
  <si>
    <t xml:space="preserve">Authorisation, not appropriation</t>
  </si>
  <si>
    <t xml:space="preserve">WRDA 2026 — DWSRF authorisation (5 yrs)</t>
  </si>
  <si>
    <t xml:space="preserve">$3.3bn/yr</t>
  </si>
  <si>
    <t xml:space="preserve">EPA CWNS — 20-year clean water needs</t>
  </si>
  <si>
    <t xml:space="preserve">2012 survey</t>
  </si>
  <si>
    <t xml:space="preserve">EPA CWNS (derived)</t>
  </si>
  <si>
    <t xml:space="preserve">DERIVED: 2022 total was +73% on 2012. Confirm against the 2012 report</t>
  </si>
  <si>
    <t xml:space="preserve">2022 survey</t>
  </si>
  <si>
    <t xml:space="preserve">Facility-level data downloadable at sdwis.epa.gov/ords/sfdw_pub/r/sfdw/cwns_pub/data-download</t>
  </si>
  <si>
    <t xml:space="preserve">EPA DWINSA — 20-year drinking water needs</t>
  </si>
  <si>
    <t xml:space="preserve">6th (2018)</t>
  </si>
  <si>
    <t xml:space="preserve">EPA DWINSA 6th</t>
  </si>
  <si>
    <t xml:space="preserve">EPA report to Congress</t>
  </si>
  <si>
    <t xml:space="preserve">7th (2023)</t>
  </si>
  <si>
    <t xml:space="preserve">EPA DWINSA 7th</t>
  </si>
  <si>
    <t xml:space="preserve">Jan-2021 dollars; $648.8bn in 2022 dollars per CRS R47878</t>
  </si>
  <si>
    <t xml:space="preserve">ASCE — water sector investment gap</t>
  </si>
  <si>
    <t xml:space="preserve">2021</t>
  </si>
  <si>
    <t xml:space="preserve">ASCE Failure to Act</t>
  </si>
  <si>
    <t xml:space="preserve">ASCE economic study</t>
  </si>
  <si>
    <t xml:space="preserve">ASCE Bridging the Gap</t>
  </si>
  <si>
    <t xml:space="preserve">AWWA — 25-year drinking water needs</t>
  </si>
  <si>
    <t xml:space="preserve">2012 (Buried No Longer)</t>
  </si>
  <si>
    <t xml:space="preserve">'will top $1 trillion over 25 years'</t>
  </si>
  <si>
    <t xml:space="preserve">2026 (Beyond the Replacement Era)</t>
  </si>
  <si>
    <t xml:space="preserve">Midpoint of $2.1-2.4tn, 2025 dollars</t>
  </si>
  <si>
    <t xml:space="preserve">Water main break rate</t>
  </si>
  <si>
    <t xml:space="preserve">2018 study</t>
  </si>
  <si>
    <t xml:space="preserve">per 100 mi/yr</t>
  </si>
  <si>
    <t xml:space="preserve">Utah State University</t>
  </si>
  <si>
    <t xml:space="preserve">USU Buried Structures Laboratory</t>
  </si>
  <si>
    <t xml:space="preserve">2023 study</t>
  </si>
  <si>
    <t xml:space="preserve">802 utilities, ~400,000 miles. -20.7% vs 2018</t>
  </si>
  <si>
    <t xml:space="preserve">Cast iron + asbestos cement share of installed mains</t>
  </si>
  <si>
    <t xml:space="preserve">-8pts in five years</t>
  </si>
  <si>
    <t xml:space="preserve">Average age of US water pipes</t>
  </si>
  <si>
    <t xml:space="preserve">1970</t>
  </si>
  <si>
    <t xml:space="preserve">Per capita water withdrawal</t>
  </si>
  <si>
    <t xml:space="preserve">USGS publishes a five-yearly national compilation</t>
  </si>
  <si>
    <t xml:space="preserve">Five-yearly series</t>
  </si>
  <si>
    <t xml:space="preserve">Public-supply domestic per capita use</t>
  </si>
  <si>
    <t xml:space="preserve">Circular 1441</t>
  </si>
  <si>
    <t xml:space="preserve">Total US water withdrawals</t>
  </si>
  <si>
    <t xml:space="preserve">-9% vs 2010</t>
  </si>
  <si>
    <t xml:space="preserve">US water + sewer bill increase</t>
  </si>
  <si>
    <t xml:space="preserve">Bluefield Research rate index (50 cities)</t>
  </si>
  <si>
    <t xml:space="preserve">Subscription series</t>
  </si>
  <si>
    <t xml:space="preserve">Subscription</t>
  </si>
  <si>
    <t xml:space="preserve">Non-revenue water — lost revenue</t>
  </si>
  <si>
    <t xml:space="preserve">Quarterly Data — As Far Back As Available</t>
  </si>
  <si>
    <t xml:space="preserve">Downloaded from Quartr. One row per reported quarter; $m unless stated. Filter with the header row.</t>
  </si>
  <si>
    <t xml:space="preserve">Fiscal quarter</t>
  </si>
  <si>
    <t xml:space="preserve">Diluted EPS</t>
  </si>
  <si>
    <t xml:space="preserve">TTM net sales</t>
  </si>
  <si>
    <t xml:space="preserve">Q2 FY2021</t>
  </si>
  <si>
    <t xml:space="preserve">2021-08-01</t>
  </si>
  <si>
    <t xml:space="preserve">2021-09-14</t>
  </si>
  <si>
    <t xml:space="preserve">report</t>
  </si>
  <si>
    <t xml:space="preserve">Q3 FY2021</t>
  </si>
  <si>
    <t xml:space="preserve">2021-10-31</t>
  </si>
  <si>
    <t xml:space="preserve">2021-12-07</t>
  </si>
  <si>
    <t xml:space="preserve">Q4 FY2021</t>
  </si>
  <si>
    <t xml:space="preserve">2022-03-30</t>
  </si>
  <si>
    <t xml:space="preserve">Q1 FY2022</t>
  </si>
  <si>
    <t xml:space="preserve">2022-05-01</t>
  </si>
  <si>
    <t xml:space="preserve">2022-06-14</t>
  </si>
  <si>
    <t xml:space="preserve">Q2 FY2022</t>
  </si>
  <si>
    <t xml:space="preserve">2022-09-13</t>
  </si>
  <si>
    <t xml:space="preserve">Q3 FY2022</t>
  </si>
  <si>
    <t xml:space="preserve">2022-10-30</t>
  </si>
  <si>
    <t xml:space="preserve">2022-12-13</t>
  </si>
  <si>
    <t xml:space="preserve">Q4 FY2022</t>
  </si>
  <si>
    <t xml:space="preserve">2023-03-28</t>
  </si>
  <si>
    <t xml:space="preserve">Q1 FY2023</t>
  </si>
  <si>
    <t xml:space="preserve">2023-04-30</t>
  </si>
  <si>
    <t xml:space="preserve">2023-06-06</t>
  </si>
  <si>
    <t xml:space="preserve">Q2 FY2023</t>
  </si>
  <si>
    <t xml:space="preserve">2023-07-30</t>
  </si>
  <si>
    <t xml:space="preserve">2023-09-06</t>
  </si>
  <si>
    <t xml:space="preserve">Q3 FY2023</t>
  </si>
  <si>
    <t xml:space="preserve">2023-10-29</t>
  </si>
  <si>
    <t xml:space="preserve">2023-12-05</t>
  </si>
  <si>
    <t xml:space="preserve">Q4 FY2023</t>
  </si>
  <si>
    <t xml:space="preserve">2024-03-19</t>
  </si>
  <si>
    <t xml:space="preserve">Q1 FY2024</t>
  </si>
  <si>
    <t xml:space="preserve">2024-05-05</t>
  </si>
  <si>
    <t xml:space="preserve">2024-06-04</t>
  </si>
  <si>
    <t xml:space="preserve">Q2 FY2024</t>
  </si>
  <si>
    <t xml:space="preserve">2024-08-04</t>
  </si>
  <si>
    <t xml:space="preserve">2024-09-04</t>
  </si>
  <si>
    <t xml:space="preserve">Q3 FY2024</t>
  </si>
  <si>
    <t xml:space="preserve">2024-11-03</t>
  </si>
  <si>
    <t xml:space="preserve">2024-12-03</t>
  </si>
  <si>
    <t xml:space="preserve">Q4 FY2024</t>
  </si>
  <si>
    <t xml:space="preserve">2025-03-25</t>
  </si>
  <si>
    <t xml:space="preserve">Q1 FY2025</t>
  </si>
  <si>
    <t xml:space="preserve">2025-05-04</t>
  </si>
  <si>
    <t xml:space="preserve">2025-06-10</t>
  </si>
  <si>
    <t xml:space="preserve">Q2 FY2025</t>
  </si>
  <si>
    <t xml:space="preserve">2025-08-03</t>
  </si>
  <si>
    <t xml:space="preserve">2025-09-09</t>
  </si>
  <si>
    <t xml:space="preserve">Q3 FY2025</t>
  </si>
  <si>
    <t xml:space="preserve">2025-11-02</t>
  </si>
  <si>
    <t xml:space="preserve">2025-12-09</t>
  </si>
  <si>
    <t xml:space="preserve">Q4 FY2025</t>
  </si>
  <si>
    <t xml:space="preserve">2026-03-24</t>
  </si>
  <si>
    <t xml:space="preserve">Q1 FY2026</t>
  </si>
  <si>
    <t xml:space="preserve">2026-05-03</t>
  </si>
  <si>
    <t xml:space="preserve">2026-06-10</t>
  </si>
  <si>
    <t xml:space="preserve">Cross-foot check — quarters against the reported annual</t>
  </si>
  <si>
    <t xml:space="preserve">Fiscal year</t>
  </si>
  <si>
    <t xml:space="preserve">Sum of quarters</t>
  </si>
  <si>
    <t xml:space="preserve">Reported annual</t>
  </si>
  <si>
    <t xml:space="preserve">Difference</t>
  </si>
  <si>
    <t xml:space="preserve">Verdict</t>
  </si>
  <si>
    <t xml:space="preserve">Core &amp; Main's fiscal 2021 is not shown here: Quartr's quarterly coverage starts at Q2 FY2021, so the four quarters do not sum to that year. From FY2022 onward every year ties exactly.</t>
  </si>
  <si>
    <t xml:space="preserve">Ferguson (FERG)</t>
  </si>
  <si>
    <t xml:space="preserve">Ferguson reported on a UK half-year basis before its US primary listing. In the vendor feed the pre-FY2022 'Q2' and 'Q4' rows are CUMULATIVE half-year and full-year figures, not discrete quarters, and are excluded below. Discrete quarterly reporting begins with the quarter ended 31 October 2021, and every fiscal year from FY2022 ties exactly to the reported annual.</t>
  </si>
  <si>
    <t xml:space="preserve">Q1 2022</t>
  </si>
  <si>
    <t xml:space="preserve">Q2 2022</t>
  </si>
  <si>
    <t xml:space="preserve">2022-03-15</t>
  </si>
  <si>
    <t xml:space="preserve">Q3 2022</t>
  </si>
  <si>
    <t xml:space="preserve">Q4 2022</t>
  </si>
  <si>
    <t xml:space="preserve">2022-09-27</t>
  </si>
  <si>
    <t xml:space="preserve">Q1 2023</t>
  </si>
  <si>
    <t xml:space="preserve">2022-12-06</t>
  </si>
  <si>
    <t xml:space="preserve">Q2 2023</t>
  </si>
  <si>
    <t xml:space="preserve">2023-03-07</t>
  </si>
  <si>
    <t xml:space="preserve">Q3 2023</t>
  </si>
  <si>
    <t xml:space="preserve">Q4 2023</t>
  </si>
  <si>
    <t xml:space="preserve">2023-09-26</t>
  </si>
  <si>
    <t xml:space="preserve">Q1 2024</t>
  </si>
  <si>
    <t xml:space="preserve">Q2 2024</t>
  </si>
  <si>
    <t xml:space="preserve">2024-03-05</t>
  </si>
  <si>
    <t xml:space="preserve">Q3 2024</t>
  </si>
  <si>
    <t xml:space="preserve">Q4 2024</t>
  </si>
  <si>
    <t xml:space="preserve">2024-09-17</t>
  </si>
  <si>
    <t xml:space="preserve">Q1 2025</t>
  </si>
  <si>
    <t xml:space="preserve">2024-12-10</t>
  </si>
  <si>
    <t xml:space="preserve">Q2 2025</t>
  </si>
  <si>
    <t xml:space="preserve">2025-03-11</t>
  </si>
  <si>
    <t xml:space="preserve">Q3 2025</t>
  </si>
  <si>
    <t xml:space="preserve">2025-06-03</t>
  </si>
  <si>
    <t xml:space="preserve">Q4 2025</t>
  </si>
  <si>
    <t xml:space="preserve">2025-09-16</t>
  </si>
  <si>
    <t xml:space="preserve">Transition Q</t>
  </si>
  <si>
    <t xml:space="preserve">2026-02-24</t>
  </si>
  <si>
    <t xml:space="preserve">Q1 2026</t>
  </si>
  <si>
    <t xml:space="preserve">2026-05-05</t>
  </si>
  <si>
    <t xml:space="preserve">Q2 2026</t>
  </si>
  <si>
    <t xml:space="preserve">2026-08-10</t>
  </si>
  <si>
    <t xml:space="preserve">The 'Transition Q' row is the quarter ended 31 October 2025, reported inside Ferguson's transition period as it moved to a calendar year end. It sits outside both FY2025 and CY2026 and is therefore excluded from the cross-foot checks above.</t>
  </si>
  <si>
    <t xml:space="preserve">Note on precision</t>
  </si>
  <si>
    <t xml:space="preserve">Core &amp; Main's Q1 FY2026 and Q1 FY2025 net sales both round to $1.91bn and the vendor feed and the company's own deck differ by $1m on which quarter is which. The comparison is flat either way. Where a single million matters, go to the 10-Q linked in the Source column.</t>
  </si>
  <si>
    <t xml:space="preserve">Time-Series Links</t>
  </si>
  <si>
    <t xml:space="preserve">Direct download endpoints. FRED CSV needs no API key. Run data/fetch_series.py to pull them all.</t>
  </si>
  <si>
    <t xml:space="preserve">NOT VERIFIED LIVE. Every FRED series ID below was confirmed against its FRED series page, but could not be fetched from the build environment (egress allowlist blocks fred.stlouisfed.org). Run  python3 data/fetch_series.py --check  on a networked machine to validate every ID and name any that fail.</t>
  </si>
  <si>
    <t xml:space="preserve">FRED series — one command downloads all of them</t>
  </si>
  <si>
    <t xml:space="preserve">Group</t>
  </si>
  <si>
    <t xml:space="preserve">Description</t>
  </si>
  <si>
    <t xml:space="preserve">Series ID</t>
  </si>
  <si>
    <t xml:space="preserve">Frequency</t>
  </si>
  <si>
    <t xml:space="preserve">Units</t>
  </si>
  <si>
    <t xml:space="preserve">From</t>
  </si>
  <si>
    <t xml:space="preserve">CSV</t>
  </si>
  <si>
    <t xml:space="preserve">Why it matters</t>
  </si>
  <si>
    <t xml:space="preserve">Construction spending</t>
  </si>
  <si>
    <t xml:space="preserve">Total Construction Spending: Water Supply</t>
  </si>
  <si>
    <t xml:space="preserve">TLWSCON</t>
  </si>
  <si>
    <t xml:space="preserve">Monthly</t>
  </si>
  <si>
    <t xml:space="preserve">$m, NSA</t>
  </si>
  <si>
    <t xml:space="preserve">2002</t>
  </si>
  <si>
    <t xml:space="preserve">csv</t>
  </si>
  <si>
    <t xml:space="preserve">Sum 12 months for a true annual figure. The headline water supply series.</t>
  </si>
  <si>
    <t xml:space="preserve">TLWSCONS</t>
  </si>
  <si>
    <t xml:space="preserve">$m, SAAR</t>
  </si>
  <si>
    <t xml:space="preserve">Seasonally adjusted annual rate — the figure quoted in this analysis.</t>
  </si>
  <si>
    <t xml:space="preserve">Total Public Construction Spending: Water Supply</t>
  </si>
  <si>
    <t xml:space="preserve">PBWSCON</t>
  </si>
  <si>
    <t xml:space="preserve">Public only. Private = total less public.</t>
  </si>
  <si>
    <t xml:space="preserve">PBWSCONS</t>
  </si>
  <si>
    <t xml:space="preserve">Public only, SAAR.</t>
  </si>
  <si>
    <t xml:space="preserve">Total Construction Spending: Sewage and Waste Disposal</t>
  </si>
  <si>
    <t xml:space="preserve">TLSWDCON</t>
  </si>
  <si>
    <t xml:space="preserve">CAUTION: bundles solid waste facilities with sewerage.</t>
  </si>
  <si>
    <t xml:space="preserve">TLSWDCONS</t>
  </si>
  <si>
    <t xml:space="preserve">Same caution. This is the $54.3bn figure in the analysis.</t>
  </si>
  <si>
    <t xml:space="preserve">Total Public Construction Spending: Sewage and Waste Disposal</t>
  </si>
  <si>
    <t xml:space="preserve">PBSWGCON</t>
  </si>
  <si>
    <t xml:space="preserve">Public only.</t>
  </si>
  <si>
    <t xml:space="preserve">PBSWGCONS</t>
  </si>
  <si>
    <t xml:space="preserve">MPCP14XXS</t>
  </si>
  <si>
    <t xml:space="preserve">Census alternate identifier for the same concept — cross-check.</t>
  </si>
  <si>
    <t xml:space="preserve">MPCP13XXS</t>
  </si>
  <si>
    <t xml:space="preserve">Census alternate identifier — cross-check.</t>
  </si>
  <si>
    <t xml:space="preserve">Water rates (CPI)</t>
  </si>
  <si>
    <t xml:space="preserve">CPI-U: Water and Sewer and Trash Collection Services</t>
  </si>
  <si>
    <t xml:space="preserve">CUSR0000SEHG</t>
  </si>
  <si>
    <t xml:space="preserve">Index, SA</t>
  </si>
  <si>
    <t xml:space="preserve">1983</t>
  </si>
  <si>
    <t xml:space="preserve">THE key public series for the rate thesis. Monthly, back to 1983, free.</t>
  </si>
  <si>
    <t xml:space="preserve">CUUR0000SEHG</t>
  </si>
  <si>
    <t xml:space="preserve">Index, NSA</t>
  </si>
  <si>
    <t xml:space="preserve">Not seasonally adjusted version.</t>
  </si>
  <si>
    <t xml:space="preserve">CPI-U: Water and Sewerage Maintenance</t>
  </si>
  <si>
    <t xml:space="preserve">CUSR0000SEHG01</t>
  </si>
  <si>
    <t xml:space="preserve">Narrower — excludes trash collection. Closer to a pure water/sewer rate index.</t>
  </si>
  <si>
    <t xml:space="preserve">CPI-W: Water and Sewer and Trash Collection Services</t>
  </si>
  <si>
    <t xml:space="preserve">CWSR0000SEHG</t>
  </si>
  <si>
    <t xml:space="preserve">Wage-earner basket version.</t>
  </si>
  <si>
    <t xml:space="preserve">CPI-U: All Items</t>
  </si>
  <si>
    <t xml:space="preserve">CPIAUCSL</t>
  </si>
  <si>
    <t xml:space="preserve">1947</t>
  </si>
  <si>
    <t xml:space="preserve">Denominator — use to show water rates outpacing general inflation.</t>
  </si>
  <si>
    <t xml:space="preserve">Pipe prices (PPI)</t>
  </si>
  <si>
    <t xml:space="preserve">PPI: Plastics Water Pipe</t>
  </si>
  <si>
    <t xml:space="preserve">WPU072106033</t>
  </si>
  <si>
    <t xml:space="preserve">Index</t>
  </si>
  <si>
    <t xml:space="preserve">varies</t>
  </si>
  <si>
    <t xml:space="preserve">THE direct read on the PVC deflation both CNM and FERG flagged.</t>
  </si>
  <si>
    <t xml:space="preserve">PPI by Industry: Plastics Sewer, Stormdrain, and Water Main Pipe</t>
  </si>
  <si>
    <t xml:space="preserve">PCU32612232612218</t>
  </si>
  <si>
    <t xml:space="preserve">Industry-based cut of the same product. Most precisely scoped series available.</t>
  </si>
  <si>
    <t xml:space="preserve">PPI: Plastics Pipe Fittings and Unions</t>
  </si>
  <si>
    <t xml:space="preserve">WPU07210604</t>
  </si>
  <si>
    <t xml:space="preserve">Fittings, which carry different margin than pipe.</t>
  </si>
  <si>
    <t xml:space="preserve">PPI by Industry: Plastics Pipe Fittings and Unions</t>
  </si>
  <si>
    <t xml:space="preserve">PCU3261223261223</t>
  </si>
  <si>
    <t xml:space="preserve">Industry-based cut of fittings.</t>
  </si>
  <si>
    <t xml:space="preserve">PPI: Ductile Iron Pressure Pipe and Fittings</t>
  </si>
  <si>
    <t xml:space="preserve">WPU10150211</t>
  </si>
  <si>
    <t xml:space="preserve">The other half of the pipe basket. Ductile iron is 29% of installed mains.</t>
  </si>
  <si>
    <t xml:space="preserve">PPI: Pressure and Soil Pipe and Fittings, Cast Iron</t>
  </si>
  <si>
    <t xml:space="preserve">WPU101502</t>
  </si>
  <si>
    <t xml:space="preserve">Broader cast iron aggregate.</t>
  </si>
  <si>
    <t xml:space="preserve">PPI: Pressure Pipe and Fittings, Cast Iron</t>
  </si>
  <si>
    <t xml:space="preserve">WPU1015021</t>
  </si>
  <si>
    <t xml:space="preserve">Narrower cast iron cut.</t>
  </si>
  <si>
    <t xml:space="preserve">PPI: Cast Iron Pressure and Soil Pipe and Fittings, Except Ductile Pressure Pipe</t>
  </si>
  <si>
    <t xml:space="preserve">WPU10150227</t>
  </si>
  <si>
    <t xml:space="preserve">Cast iron excluding ductile — cleanest split.</t>
  </si>
  <si>
    <t xml:space="preserve">Multiple series in one request: https://fred.stlouisfed.org/graph/fredgraph.csv?id=ID1,ID2,ID3</t>
  </si>
  <si>
    <t xml:space="preserve">Bulk data portals and primary documents</t>
  </si>
  <si>
    <t xml:space="preserve">Link</t>
  </si>
  <si>
    <t xml:space="preserve">Public spending</t>
  </si>
  <si>
    <t xml:space="preserve">CBO — Public Spending on Transportation and Water Infrastructure, 1956-2023</t>
  </si>
  <si>
    <t xml:space="preserve">XLSX supplementary workbook</t>
  </si>
  <si>
    <t xml:space="preserve">1956-2023 annual</t>
  </si>
  <si>
    <t xml:space="preserve">open</t>
  </si>
  <si>
    <t xml:space="preserve">THE anchor source. The page carries a supplementary data workbook with the full annual series by mode, split capital vs operations &amp; maintenance and federal vs state/local. This is where the $59bn water utilities capital figure comes from.</t>
  </si>
  <si>
    <t xml:space="preserve">Census Bureau — Construction Spending (C30) historical time series</t>
  </si>
  <si>
    <t xml:space="preserve">XLSX / CSV</t>
  </si>
  <si>
    <t xml:space="preserve">1993- monthly</t>
  </si>
  <si>
    <t xml:space="preserve">Official source behind the FRED construction series. Longer history than FRED for some cuts.</t>
  </si>
  <si>
    <t xml:space="preserve">Census Bureau — Construction Spending landing page</t>
  </si>
  <si>
    <t xml:space="preserve">PDF / XLSX</t>
  </si>
  <si>
    <t xml:space="preserve">Monthly releases</t>
  </si>
  <si>
    <t xml:space="preserve">Monthly release tables including water supply and sewage &amp; waste disposal.</t>
  </si>
  <si>
    <t xml:space="preserve">US Conference of Mayors — 2025 Public Infrastructure Spending</t>
  </si>
  <si>
    <t xml:space="preserve">PDF</t>
  </si>
  <si>
    <t xml:space="preserve">Local-government-only capital spending on sewer and water supply, cumulative and annual.</t>
  </si>
  <si>
    <t xml:space="preserve">Federal programmes</t>
  </si>
  <si>
    <t xml:space="preserve">CRS IF13177 — FY2026 Appropriations for EPA Water Infrastructure Programs</t>
  </si>
  <si>
    <t xml:space="preserve">PDF / HTML</t>
  </si>
  <si>
    <t xml:space="preserve">FY2025-FY2026</t>
  </si>
  <si>
    <t xml:space="preserve">Table 1 has enacted appropriations by programme. The clean source for the SRF fiscal-year series.</t>
  </si>
  <si>
    <t xml:space="preserve">CRS IF12950 — EPA Water Infrastructure Programs and FY2025 Appropriations</t>
  </si>
  <si>
    <t xml:space="preserve">FY2024-FY2025</t>
  </si>
  <si>
    <t xml:space="preserve">Table 1.</t>
  </si>
  <si>
    <t xml:space="preserve">CRS R47474 — Clean Water SRF Allotment Formula</t>
  </si>
  <si>
    <t xml:space="preserve">Historical</t>
  </si>
  <si>
    <t xml:space="preserve">Longer-run CWSRF appropriations history and the 1987 allotment formula.</t>
  </si>
  <si>
    <t xml:space="preserve">CRS R47878 — Drinking Water Infrastructure Needs</t>
  </si>
  <si>
    <t xml:space="preserve">DWINSA vintages</t>
  </si>
  <si>
    <t xml:space="preserve">Restates DWINSA in 2022 dollars ($648.8bn).</t>
  </si>
  <si>
    <t xml:space="preserve">CRS R48565 — Wastewater Infrastructure Funding</t>
  </si>
  <si>
    <t xml:space="preserve">EPA wastewater needs table and affordability analysis.</t>
  </si>
  <si>
    <t xml:space="preserve">EPA — WIFIA closed loans</t>
  </si>
  <si>
    <t xml:space="preserve">HTML list</t>
  </si>
  <si>
    <t xml:space="preserve">2018-</t>
  </si>
  <si>
    <t xml:space="preserve">Loan-by-loan record: borrower, amount, project value, close date.</t>
  </si>
  <si>
    <t xml:space="preserve">EPA — Water Infrastructure Investments (BIL/IIJA)</t>
  </si>
  <si>
    <t xml:space="preserve">HTML / PDF</t>
  </si>
  <si>
    <t xml:space="preserve">FY2022-FY2026</t>
  </si>
  <si>
    <t xml:space="preserve">IIJA allocation by pot and by state.</t>
  </si>
  <si>
    <t xml:space="preserve">Needs surveys</t>
  </si>
  <si>
    <t xml:space="preserve">EPA CWNS 2022 — facility-level data download</t>
  </si>
  <si>
    <t xml:space="preserve">CSV / MS Access</t>
  </si>
  <si>
    <t xml:space="preserve">GENUINELY DOWNLOADABLE AND FACILITY-LEVEL. Every table as CSV, nationwide or by state, with a data dictionary. The single richest free dataset in the sector.</t>
  </si>
  <si>
    <t xml:space="preserve">EPA CWNS — report and data landing page</t>
  </si>
  <si>
    <t xml:space="preserve">PDF / dashboard</t>
  </si>
  <si>
    <t xml:space="preserve">1984-2022</t>
  </si>
  <si>
    <t xml:space="preserve">Report to Congress plus the interactive needs dashboard.</t>
  </si>
  <si>
    <t xml:space="preserve">CUAHSI HydroShare — Clean Watersheds Needs Surveys 1984-2022</t>
  </si>
  <si>
    <t xml:space="preserve">Third-party archive converting the older Access-format surveys to CSV. Use for the long vintage series.</t>
  </si>
  <si>
    <t xml:space="preserve">EPA DWSRF — Drinking Water Infrastructure Needs Survey and Assessment</t>
  </si>
  <si>
    <t xml:space="preserve">1995-2023 (7 surveys)</t>
  </si>
  <si>
    <t xml:space="preserve">Reports to Congress. Underlying utility responses are not public.</t>
  </si>
  <si>
    <t xml:space="preserve">Technical</t>
  </si>
  <si>
    <t xml:space="preserve">USGS — Water Use in the United States</t>
  </si>
  <si>
    <t xml:space="preserve">CSV / PDF</t>
  </si>
  <si>
    <t xml:space="preserve">1950-2020, five-yearly</t>
  </si>
  <si>
    <t xml:space="preserve">National compilation by category and state. Circular 1441 is the 2015 edition.</t>
  </si>
  <si>
    <t xml:space="preserve">USU — Water Main Break Rates in the USA and Canada</t>
  </si>
  <si>
    <t xml:space="preserve">2012, 2018, 2023</t>
  </si>
  <si>
    <t xml:space="preserve">Three survey vintages. Break rate by material, pipe age distribution, material mix.</t>
  </si>
  <si>
    <t xml:space="preserve">PHMSA — By-Decade Inventory (gas and hazardous liquid pipelines)</t>
  </si>
  <si>
    <t xml:space="preserve">XLSX</t>
  </si>
  <si>
    <t xml:space="preserve">2005-</t>
  </si>
  <si>
    <t xml:space="preserve">Mileage by decade of installation. THE COMPARATOR: this is what water has no equivalent of.</t>
  </si>
  <si>
    <t xml:space="preserve">EPA SDWIS — Safe Drinking Water Information System</t>
  </si>
  <si>
    <t xml:space="preserve">HTML / CSV</t>
  </si>
  <si>
    <t xml:space="preserve">Current</t>
  </si>
  <si>
    <t xml:space="preserve">Compliance, violations and basic system inventory. NO pipe age or distribution asset data.</t>
  </si>
  <si>
    <t xml:space="preserve">Estimates</t>
  </si>
  <si>
    <t xml:space="preserve">ASCE — Bridging the Gap economic study</t>
  </si>
  <si>
    <t xml:space="preserve">$99bn/yr water sector gap.</t>
  </si>
  <si>
    <t xml:space="preserve">ASCE — 2025 Infrastructure Report Card</t>
  </si>
  <si>
    <t xml:space="preserve">Drinking water C-, wastewater D+.</t>
  </si>
  <si>
    <t xml:space="preserve">AWWA — Beyond the Replacement Era</t>
  </si>
  <si>
    <t xml:space="preserve">$2.1-2.4tn over 2026-2050.</t>
  </si>
  <si>
    <t xml:space="preserve">Bluefield Research — municipal water &amp; sewer rate index</t>
  </si>
  <si>
    <t xml:space="preserve">50 cities, annual</t>
  </si>
  <si>
    <t xml:space="preserve">PAID. The free public substitute is CPI series CUSR0000SEHG01.</t>
  </si>
  <si>
    <t xml:space="preserve">Utility &amp; company</t>
  </si>
  <si>
    <t xml:space="preserve">MSRB EMMA — municipal bond official statements and continuing disclosure</t>
  </si>
  <si>
    <t xml:space="preserve">1990-</t>
  </si>
  <si>
    <t xml:space="preserve">FREE. System descriptions with miles of main, material mix, age profile, CIP and rate history. The highest-density public source for utility-level asset and spending data.</t>
  </si>
  <si>
    <t xml:space="preserve">SEC EDGAR full-text search</t>
  </si>
  <si>
    <t xml:space="preserve">HTML / JSON API</t>
  </si>
  <si>
    <t xml:space="preserve">2001-</t>
  </si>
  <si>
    <t xml:space="preserve">Investor-owned water utility 10-Ks: replacement cycles, miles replaced, capital plans.</t>
  </si>
  <si>
    <t xml:space="preserve">Quartr — Core &amp; Main</t>
  </si>
  <si>
    <t xml:space="preserve">API / web</t>
  </si>
  <si>
    <t xml:space="preserve">FY2021-</t>
  </si>
  <si>
    <t xml:space="preserve">Source of every Core &amp; Main figure in this workbook.</t>
  </si>
  <si>
    <t xml:space="preserve">Quartr — Ferguson Enterprises</t>
  </si>
  <si>
    <t xml:space="preserve">FY2018-</t>
  </si>
  <si>
    <t xml:space="preserve">Source of every Ferguson figure in this workbook.</t>
  </si>
  <si>
    <t xml:space="preserve">Asset-level</t>
  </si>
  <si>
    <t xml:space="preserve">Seattle GeoData — water mains and services</t>
  </si>
  <si>
    <t xml:space="preserve">Shapefile / GeoJSON / CSV</t>
  </si>
  <si>
    <t xml:space="preserve">Segment-level main layer with installation year and material, plus a 'presumed unlined' layer.</t>
  </si>
  <si>
    <t xml:space="preserve">Open Data DC — DC Water main breaks</t>
  </si>
  <si>
    <t xml:space="preserve">CSV / GeoJSON</t>
  </si>
  <si>
    <t xml:space="preserve">Rolling 5 years</t>
  </si>
  <si>
    <t xml:space="preserve">Break location and date, updated weekly. The closest public proxy for repair history.</t>
  </si>
  <si>
    <t xml:space="preserve">data.gov — geospatial catalogue</t>
  </si>
  <si>
    <t xml:space="preserve">Various</t>
  </si>
  <si>
    <t xml:space="preserve">Federated search across city open-data portals for water main layers.</t>
  </si>
  <si>
    <t xml:space="preserve">New York State — Lead Service Line Inventory Map</t>
  </si>
  <si>
    <t xml:space="preserve">CSV / API</t>
  </si>
  <si>
    <t xml:space="preserve">2024-</t>
  </si>
  <si>
    <t xml:space="preserve">Socrata dataset — genuinely queryable service line material by location.</t>
  </si>
  <si>
    <t xml:space="preserve">Minnesota — Lead Infrastructure Transparency Tool</t>
  </si>
  <si>
    <t xml:space="preserve">Web map</t>
  </si>
  <si>
    <t xml:space="preserve">Address-level search.</t>
  </si>
  <si>
    <t xml:space="preserve">What is genuinely downloadable, ranked</t>
  </si>
  <si>
    <t xml:space="preserve">Rank</t>
  </si>
  <si>
    <t xml:space="preserve">What you get</t>
  </si>
  <si>
    <t xml:space="preserve">FRED</t>
  </si>
  <si>
    <t xml:space="preserve">Every series above, CSV, no key, one command.</t>
  </si>
  <si>
    <t xml:space="preserve">EPA CWNS 2022 facility-level data</t>
  </si>
  <si>
    <t xml:space="preserve">CSV or Access, nationwide or by state, with a data dictionary. The richest free dataset in the sector.</t>
  </si>
  <si>
    <t xml:space="preserve">The full 1956-2023 annual series by mode, capital vs O&amp;M, federal vs state/local. One XLSX behind publication 60874.</t>
  </si>
  <si>
    <t xml:space="preserve">Census C30 historical time series</t>
  </si>
  <si>
    <t xml:space="preserve">Monthly construction spending back to 1993.</t>
  </si>
  <si>
    <t xml:space="preserve">Municipal GIS portals</t>
  </si>
  <si>
    <t xml:space="preserve">Segment-level pipe age and material, utility by utility.</t>
  </si>
  <si>
    <t xml:space="preserve">MSRB EMMA</t>
  </si>
  <si>
    <t xml:space="preserve">Free, and the densest utility-level asset and capital-plan disclosure available.</t>
  </si>
  <si>
    <t xml:space="preserve">What is not downloadable</t>
  </si>
  <si>
    <t xml:space="preserve">Bluefield rate index</t>
  </si>
  <si>
    <t xml:space="preserve">SUBSCRIPTION</t>
  </si>
  <si>
    <t xml:space="preserve">Free substitute: FRED CUSR0000SEHG01 (CPI water and sewerage maintenance).</t>
  </si>
  <si>
    <t xml:space="preserve">EPA DWINSA underlying responses</t>
  </si>
  <si>
    <t xml:space="preserve">NOT PUBLISHED</t>
  </si>
  <si>
    <t xml:space="preserve">Aggregated national and state figures only.</t>
  </si>
  <si>
    <t xml:space="preserve">AWIA risk and resilience assessments</t>
  </si>
  <si>
    <t xml:space="preserve">Withheld on security grounds.</t>
  </si>
  <si>
    <t xml:space="preserve">PIPEiD</t>
  </si>
  <si>
    <t xml:space="preserve">SECURED PLATFORM</t>
  </si>
  <si>
    <t xml:space="preserve">Exists, but built for utility decision support, not open data.</t>
  </si>
  <si>
    <t xml:space="preserve">National water pipe age registry</t>
  </si>
  <si>
    <t xml:space="preserve">PHMSA's By-Decade Inventory is the gas-sector comparator showing exactly what water lacks.</t>
  </si>
  <si>
    <t xml:space="preserve">Sources and Known Biases</t>
  </si>
  <si>
    <t xml:space="preserve">Every source with the interest of the party that produced it, so the reader can discount accordingly.</t>
  </si>
  <si>
    <t xml:space="preserve">Public spending — historical</t>
  </si>
  <si>
    <t xml:space="preserve">Document</t>
  </si>
  <si>
    <t xml:space="preserve">Date</t>
  </si>
  <si>
    <t xml:space="preserve">Known interest / bias</t>
  </si>
  <si>
    <t xml:space="preserve">Public Spending on Transportation and Water Infrastructure, 1956 to 2023</t>
  </si>
  <si>
    <t xml:space="preserve">Feb 2025</t>
  </si>
  <si>
    <t xml:space="preserve">Non-partisan scorekeeper — the most neutral source in the sector. Caveat: 'water utilities' bundles supply and wastewater and includes O&amp;M.</t>
  </si>
  <si>
    <t xml:space="preserve">USAFacts</t>
  </si>
  <si>
    <t xml:space="preserve">Summary of the CBO series</t>
  </si>
  <si>
    <t xml:space="preserve">Non-partisan aggregator. Used for the modal and capital/O&amp;M breakdown.</t>
  </si>
  <si>
    <t xml:space="preserve">US Census Bureau</t>
  </si>
  <si>
    <t xml:space="preserve">Value of Construction Put in Place (C30)</t>
  </si>
  <si>
    <t xml:space="preserve">Official statistics, no advocacy. Caveat: 'sewage and waste disposal' bundles solid waste with sewerage, overstating the wastewater component.</t>
  </si>
  <si>
    <t xml:space="preserve">2025 Public Infrastructure Spending</t>
  </si>
  <si>
    <t xml:space="preserve">Municipal advocacy organisation — interest in demonstrating local fiscal burden.</t>
  </si>
  <si>
    <t xml:space="preserve">IF13177 — FY2026 Appropriations for EPA Water Infrastructure Programs</t>
  </si>
  <si>
    <t xml:space="preserve">Non-partisan congressional research. High reliability.</t>
  </si>
  <si>
    <t xml:space="preserve">R48565 — Wastewater Infrastructure Funding</t>
  </si>
  <si>
    <t xml:space="preserve">Same.</t>
  </si>
  <si>
    <t xml:space="preserve">R47878 — Drinking Water Infrastructure Needs</t>
  </si>
  <si>
    <t xml:space="preserve">Same. Source of the $648.8bn (2022 dollars) restatement of DWINSA.</t>
  </si>
  <si>
    <t xml:space="preserve">Water Infrastructure Investments; BIL fact sheets; WIFIA announcements</t>
  </si>
  <si>
    <t xml:space="preserve">2021-26</t>
  </si>
  <si>
    <t xml:space="preserve">Agency communicating its own programme — presents funding favourably.</t>
  </si>
  <si>
    <t xml:space="preserve">Water infrastructure funding cliff advocacy</t>
  </si>
  <si>
    <t xml:space="preserve">ADVOCACY — lobbying to extend federal funding. Source of the $2.7bn to $11.4bn framing; directionally verifiable but framed to maximise the cliff.</t>
  </si>
  <si>
    <t xml:space="preserve">Water Resources Development Act of 2026</t>
  </si>
  <si>
    <t xml:space="preserve">Jul 2026</t>
  </si>
  <si>
    <t xml:space="preserve">Primary legislative source. Authorisation is not appropriation.</t>
  </si>
  <si>
    <t xml:space="preserve">Needs estimates and forecasts</t>
  </si>
  <si>
    <t xml:space="preserve">7th Drinking Water Infrastructure Needs Survey and Assessment</t>
  </si>
  <si>
    <t xml:space="preserve">Sep 2023</t>
  </si>
  <si>
    <t xml:space="preserve">ALLOCATION INSTRUMENT. States self-report and the results drive their own funding formula — a structural incentive to report high. EPA concedes transmission and distribution is undercounted.</t>
  </si>
  <si>
    <t xml:space="preserve">Clean Watersheds Needs Survey 2022</t>
  </si>
  <si>
    <t xml:space="preserve">Apr 2024</t>
  </si>
  <si>
    <t xml:space="preserve">Same structure. First survey with 100% state participation, which mechanically inflates the year-on-year increase.</t>
  </si>
  <si>
    <t xml:space="preserve">GAO</t>
  </si>
  <si>
    <t xml:space="preserve">GAO-24-106251</t>
  </si>
  <si>
    <t xml:space="preserve">Independent auditor. CRITICAL of EPA's needs estimate and the 1987 CWSRF allocation formula. Used here as the counterweight.</t>
  </si>
  <si>
    <t xml:space="preserve">EPA Office of Inspector General</t>
  </si>
  <si>
    <t xml:space="preserve">Report on 7th DWINSA lead service line allotments</t>
  </si>
  <si>
    <t xml:space="preserve">Independent internal auditor. Also critical.</t>
  </si>
  <si>
    <t xml:space="preserve">2025 Infrastructure Report Card — drinking water C-, wastewater D+</t>
  </si>
  <si>
    <t xml:space="preserve">Mar 2025</t>
  </si>
  <si>
    <t xml:space="preserve">PROFESSIONAL SOCIETY OF CIVIL ENGINEERS. Direct commercial interest in higher infrastructure spending. Grading methodology not externally audited.</t>
  </si>
  <si>
    <t xml:space="preserve">Bridging the Gap — $99bn/yr water gap</t>
  </si>
  <si>
    <t xml:space="preserve">Same. Uses a broader 'economic need' definition not comparable to EPA's eligible-need definition.</t>
  </si>
  <si>
    <t xml:space="preserve">Beyond the Replacement Era — $2.1-2.4tn / 25yr</t>
  </si>
  <si>
    <t xml:space="preserve">Mar 2026</t>
  </si>
  <si>
    <t xml:space="preserve">WATER UTILITY TRADE ASSOCIATION. Interest in federal funding and in justifying rate increases to regulators. Broadest definition of the four; the 168% required increase should be read as a bargaining position.</t>
  </si>
  <si>
    <t xml:space="preserve">Treatment capex, pipe capex, rate index, non-revenue water</t>
  </si>
  <si>
    <t xml:space="preserve">2025-26</t>
  </si>
  <si>
    <t xml:space="preserve">COMMERCIAL MARKET RESEARCH sold to vendors and investors. Interest in a large addressable market, but methodology is bottom-up from project pipelines and is the closest to a revenue-relevant forecast.</t>
  </si>
  <si>
    <t xml:space="preserve">McKinsey</t>
  </si>
  <si>
    <t xml:space="preserve">Water resilience: closing the funding gap for utilities</t>
  </si>
  <si>
    <t xml:space="preserve">Consultancy. Used only as a cross-check on total utility spending (~$183bn implied).</t>
  </si>
  <si>
    <t xml:space="preserve">Water Main Break Rates in the USA and Canada</t>
  </si>
  <si>
    <t xml:space="preserve">Dec 2023</t>
  </si>
  <si>
    <t xml:space="preserve">Academic, but distributed by pipe-manufacturer interests, and its material-by-material break rates favour PVC. It is also the best data available — and its finding that break rates FELL cuts against its own $452bn headline, which is a point in favour of the data's integrity.</t>
  </si>
  <si>
    <t xml:space="preserve">Water Use in the United States</t>
  </si>
  <si>
    <t xml:space="preserve">2015/2020 series</t>
  </si>
  <si>
    <t xml:space="preserve">Federal scientific agency. Neutral. Caveat: the national compilation is published on a five-year lag.</t>
  </si>
  <si>
    <t xml:space="preserve">Springer / ASM / EPA</t>
  </si>
  <si>
    <t xml:space="preserve">Peer-reviewed literature on graphitic corrosion and tuberculation</t>
  </si>
  <si>
    <t xml:space="preserve">various</t>
  </si>
  <si>
    <t xml:space="preserve">Neutral engineering literature.</t>
  </si>
  <si>
    <t xml:space="preserve">Lead and Copper Rule Improvements — final Oct 2024</t>
  </si>
  <si>
    <t xml:space="preserve">2024-26</t>
  </si>
  <si>
    <t xml:space="preserve">Primary rulemaking source.</t>
  </si>
  <si>
    <t xml:space="preserve">NRDC tracker</t>
  </si>
  <si>
    <t xml:space="preserve">American Water Works Association v. EPA</t>
  </si>
  <si>
    <t xml:space="preserve">Environmental advocacy organisation, used only for case status. Oral argument expected Fall 2026.</t>
  </si>
  <si>
    <t xml:space="preserve">Federal Register</t>
  </si>
  <si>
    <t xml:space="preserve">Extending the Compliance Deadline for the PFOA and PFOS MCLs</t>
  </si>
  <si>
    <t xml:space="preserve">20 May 2026</t>
  </si>
  <si>
    <t xml:space="preserve">Primary source.</t>
  </si>
  <si>
    <t xml:space="preserve">PFAS National Cost Model — &gt;$50bn/20yr</t>
  </si>
  <si>
    <t xml:space="preserve">Trade-association cost model, produced to argue against a stricter rule.</t>
  </si>
  <si>
    <t xml:space="preserve">R49057 — Data Centers and Water: FAQ</t>
  </si>
  <si>
    <t xml:space="preserve">Non-partisan congressional research.</t>
  </si>
  <si>
    <t xml:space="preserve">Company data — all via Quartr</t>
  </si>
  <si>
    <t xml:space="preserve">Q1 FY2026 results and investor presentation</t>
  </si>
  <si>
    <t xml:space="preserve">10 Jun 2026</t>
  </si>
  <si>
    <t xml:space="preserve">Primary. Net sales, mix, TAM, guidance, management commentary on the IIJA cliff.</t>
  </si>
  <si>
    <t xml:space="preserve">FY2025 full-year results</t>
  </si>
  <si>
    <t xml:space="preserve">24 Mar 2026</t>
  </si>
  <si>
    <t xml:space="preserve">Primary. Five-year income statement.</t>
  </si>
  <si>
    <t xml:space="preserve">Q2 CY2026 results and presentation</t>
  </si>
  <si>
    <t xml:space="preserve">10 Aug 2026</t>
  </si>
  <si>
    <t xml:space="preserve">Primary. US customer-group table, segment revenue, FloWorks terms.</t>
  </si>
  <si>
    <t xml:space="preserve">CY2025 transition-period results</t>
  </si>
  <si>
    <t xml:space="preserve">24 Feb 2026</t>
  </si>
  <si>
    <t xml:space="preserve">Primary. Eight-period income statement.</t>
  </si>
</sst>
</file>

<file path=xl/styles.xml><?xml version="1.0" encoding="utf-8"?>
<styleSheet xmlns="http://schemas.openxmlformats.org/spreadsheetml/2006/main">
  <numFmts count="8">
    <numFmt numFmtId="164" formatCode="General"/>
    <numFmt numFmtId="165" formatCode="#,##0.0;\(#,##0.0\);\-"/>
    <numFmt numFmtId="166" formatCode="0.0%;\(0.0%\);\-"/>
    <numFmt numFmtId="167" formatCode="0.0\x"/>
    <numFmt numFmtId="168" formatCode="#,##0;\(#,##0\);\-"/>
    <numFmt numFmtId="169" formatCode="0"/>
    <numFmt numFmtId="170" formatCode="\$#,##0;&quot;($&quot;#,##0\);\-"/>
    <numFmt numFmtId="171" formatCode="\$0.00"/>
  </numFmts>
  <fonts count="13">
    <font>
      <sz val="11"/>
      <color theme="1"/>
      <name val="Calibri"/>
      <family val="2"/>
      <charset val="1"/>
    </font>
    <font>
      <sz val="10"/>
      <name val="Arial"/>
      <family val="0"/>
    </font>
    <font>
      <sz val="10"/>
      <name val="Arial"/>
      <family val="0"/>
    </font>
    <font>
      <sz val="10"/>
      <name val="Arial"/>
      <family val="0"/>
    </font>
    <font>
      <b val="true"/>
      <sz val="16"/>
      <color rgb="FF1F3B52"/>
      <name val="Arial"/>
      <family val="0"/>
      <charset val="1"/>
    </font>
    <font>
      <sz val="9"/>
      <color rgb="FF5C6E7C"/>
      <name val="Arial"/>
      <family val="0"/>
      <charset val="1"/>
    </font>
    <font>
      <b val="true"/>
      <sz val="11"/>
      <color rgb="FF1F3B52"/>
      <name val="Arial"/>
      <family val="0"/>
      <charset val="1"/>
    </font>
    <font>
      <b val="true"/>
      <sz val="9"/>
      <color rgb="FFFFFFFF"/>
      <name val="Arial"/>
      <family val="0"/>
      <charset val="1"/>
    </font>
    <font>
      <sz val="10"/>
      <name val="Arial"/>
      <family val="0"/>
      <charset val="1"/>
    </font>
    <font>
      <b val="true"/>
      <sz val="10"/>
      <name val="Arial"/>
      <family val="0"/>
      <charset val="1"/>
    </font>
    <font>
      <sz val="10"/>
      <color rgb="FF0000FF"/>
      <name val="Arial"/>
      <family val="0"/>
      <charset val="1"/>
    </font>
    <font>
      <sz val="10"/>
      <color rgb="FF008000"/>
      <name val="Arial"/>
      <family val="0"/>
      <charset val="1"/>
    </font>
    <font>
      <u val="single"/>
      <sz val="9"/>
      <color rgb="FF0563C1"/>
      <name val="Arial"/>
      <family val="0"/>
      <charset val="1"/>
    </font>
  </fonts>
  <fills count="5">
    <fill>
      <patternFill patternType="none"/>
    </fill>
    <fill>
      <patternFill patternType="gray125"/>
    </fill>
    <fill>
      <patternFill patternType="solid">
        <fgColor rgb="FF1F3B52"/>
        <bgColor rgb="FF003366"/>
      </patternFill>
    </fill>
    <fill>
      <patternFill patternType="solid">
        <fgColor rgb="FFFFFF00"/>
        <bgColor rgb="FFFFFF00"/>
      </patternFill>
    </fill>
    <fill>
      <patternFill patternType="solid">
        <fgColor rgb="FFEEF2F5"/>
        <bgColor rgb="FFFFFFFF"/>
      </patternFill>
    </fill>
  </fills>
  <borders count="2">
    <border diagonalUp="false" diagonalDown="false">
      <left/>
      <right/>
      <top/>
      <bottom/>
      <diagonal/>
    </border>
    <border diagonalUp="false" diagonalDown="false">
      <left style="thin">
        <color rgb="FFBFCBD4"/>
      </left>
      <right style="thin">
        <color rgb="FFBFCBD4"/>
      </right>
      <top style="thin">
        <color rgb="FFBFCBD4"/>
      </top>
      <bottom style="thin">
        <color rgb="FFBFCB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5"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10" fillId="3"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7" fontId="10"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general" vertical="top" textRotation="0" wrapText="true" indent="0" shrinkToFit="false"/>
      <protection locked="true" hidden="false"/>
    </xf>
    <xf numFmtId="165" fontId="8" fillId="4" borderId="1" xfId="0" applyFont="true" applyBorder="true" applyAlignment="true" applyProtection="false">
      <alignment horizontal="general" vertical="top" textRotation="0" wrapText="true" indent="0" shrinkToFit="false"/>
      <protection locked="true" hidden="false"/>
    </xf>
    <xf numFmtId="167" fontId="10" fillId="4"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9" fillId="4" borderId="1"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true" applyProtection="false">
      <alignment horizontal="general" vertical="top" textRotation="0" wrapText="true" indent="0" shrinkToFit="false"/>
      <protection locked="true" hidden="false"/>
    </xf>
    <xf numFmtId="168" fontId="10"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true" applyProtection="false">
      <alignment horizontal="general" vertical="top" textRotation="0" wrapText="true" indent="0" shrinkToFit="false"/>
      <protection locked="true" hidden="false"/>
    </xf>
    <xf numFmtId="169" fontId="10" fillId="0" borderId="1" xfId="0" applyFont="true" applyBorder="true" applyAlignment="true" applyProtection="false">
      <alignment horizontal="general" vertical="top" textRotation="0" wrapText="true" indent="0" shrinkToFit="false"/>
      <protection locked="true" hidden="false"/>
    </xf>
    <xf numFmtId="168" fontId="9" fillId="4" borderId="1" xfId="0" applyFont="true" applyBorder="true" applyAlignment="true" applyProtection="false">
      <alignment horizontal="general" vertical="top" textRotation="0" wrapText="true" indent="0" shrinkToFit="false"/>
      <protection locked="true" hidden="false"/>
    </xf>
    <xf numFmtId="167" fontId="9" fillId="4"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70" fontId="10"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71" fontId="10" fillId="0" borderId="1" xfId="0" applyFont="true" applyBorder="true" applyAlignment="true" applyProtection="false">
      <alignment horizontal="general" vertical="top" textRotation="0" wrapText="tru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true" applyProtection="false">
      <alignment horizontal="general" vertical="top" textRotation="0" wrapText="true" indent="0" shrinkToFit="false"/>
      <protection locked="true" hidden="false"/>
    </xf>
    <xf numFmtId="168" fontId="10" fillId="4" borderId="1" xfId="0" applyFont="true" applyBorder="true" applyAlignment="true" applyProtection="false">
      <alignment horizontal="general" vertical="top" textRotation="0" wrapText="true" indent="0" shrinkToFit="false"/>
      <protection locked="true" hidden="false"/>
    </xf>
    <xf numFmtId="168" fontId="11"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7"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B52"/>
          <bgColor rgb="FF000000"/>
        </patternFill>
      </fill>
    </dxf>
    <dxf>
      <fill>
        <patternFill patternType="solid">
          <bgColor rgb="FF000000"/>
        </patternFill>
      </fill>
    </dxf>
    <dxf>
      <fill>
        <patternFill patternType="solid">
          <fgColor rgb="FFFFFFFF"/>
          <bgColor rgb="FF000000"/>
        </patternFill>
      </fill>
    </dxf>
    <dxf>
      <fill>
        <patternFill patternType="solid">
          <fgColor rgb="FF5C6E7C"/>
          <bgColor rgb="FF000000"/>
        </patternFill>
      </fill>
    </dxf>
    <dxf>
      <fill>
        <patternFill patternType="solid">
          <fgColor rgb="FF0000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2724A"/>
      <rgbColor rgb="FFBFCBD4"/>
      <rgbColor rgb="FF808080"/>
      <rgbColor rgb="FF9999FF"/>
      <rgbColor rgb="FF993366"/>
      <rgbColor rgb="FFEEF2F5"/>
      <rgbColor rgb="FFCCFFFF"/>
      <rgbColor rgb="FF660066"/>
      <rgbColor rgb="FFFF8080"/>
      <rgbColor rgb="FF0563C1"/>
      <rgbColor rgb="FFCCCCFF"/>
      <rgbColor rgb="FF000080"/>
      <rgbColor rgb="FFFF00FF"/>
      <rgbColor rgb="FFFFFF00"/>
      <rgbColor rgb="FF00FFFF"/>
      <rgbColor rgb="FF800080"/>
      <rgbColor rgb="FF800000"/>
      <rgbColor rgb="FF0B5FA5"/>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E7C"/>
      <rgbColor rgb="FF969696"/>
      <rgbColor rgb="FF003366"/>
      <rgbColor rgb="FF339966"/>
      <rgbColor rgb="FF003300"/>
      <rgbColor rgb="FF333300"/>
      <rgbColor rgb="FFA8451C"/>
      <rgbColor rgb="FF993366"/>
      <rgbColor rgb="FF333399"/>
      <rgbColor rgb="FF1F3B5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5.xml.rels><?xml version="1.0" encoding="UTF-8"?>
<Relationships xmlns="http://schemas.openxmlformats.org/package/2006/relationships"><Relationship Id="rId1" Type="http://schemas.openxmlformats.org/officeDocument/2006/relationships/hyperlink" Target="https://web.quartr.com/companies/6132?companyId=6132&amp;documentId=222263&amp;documentType=report&amp;eventId=18137" TargetMode="External"/><Relationship Id="rId2" Type="http://schemas.openxmlformats.org/officeDocument/2006/relationships/hyperlink" Target="https://www.cbo.gov/publication/60874" TargetMode="External"/><Relationship Id="rId3" Type="http://schemas.openxmlformats.org/officeDocument/2006/relationships/hyperlink" Target="https://www.cbo.gov/publication/60874" TargetMode="External"/><Relationship Id="rId4" Type="http://schemas.openxmlformats.org/officeDocument/2006/relationships/hyperlink" Target="https://usafacts.org/articles/how-much-does-the-government-spend-on-transportation-and-water-infrastructure/" TargetMode="External"/><Relationship Id="rId5" Type="http://schemas.openxmlformats.org/officeDocument/2006/relationships/hyperlink" Target="https://www.cbo.gov/publication/60874" TargetMode="External"/><Relationship Id="rId6" Type="http://schemas.openxmlformats.org/officeDocument/2006/relationships/hyperlink" Target="https://www.cbo.gov/publication/60874" TargetMode="External"/><Relationship Id="rId7" Type="http://schemas.openxmlformats.org/officeDocument/2006/relationships/hyperlink" Target="https://www.cbo.gov/publication/60874" TargetMode="External"/><Relationship Id="rId8" Type="http://schemas.openxmlformats.org/officeDocument/2006/relationships/hyperlink" Target="https://www.cbo.gov/publication/60874" TargetMode="External"/><Relationship Id="rId9" Type="http://schemas.openxmlformats.org/officeDocument/2006/relationships/hyperlink" Target="https://www.cbo.gov/publication/60874" TargetMode="External"/><Relationship Id="rId10" Type="http://schemas.openxmlformats.org/officeDocument/2006/relationships/hyperlink" Target="https://www.census.gov/construction/c30/" TargetMode="External"/><Relationship Id="rId11" Type="http://schemas.openxmlformats.org/officeDocument/2006/relationships/hyperlink" Target="https://www.census.gov/construction/c30/" TargetMode="External"/><Relationship Id="rId12" Type="http://schemas.openxmlformats.org/officeDocument/2006/relationships/hyperlink" Target="https://www.census.gov/construction/c30/" TargetMode="External"/><Relationship Id="rId13" Type="http://schemas.openxmlformats.org/officeDocument/2006/relationships/hyperlink" Target="https://www.census.gov/construction/c30/" TargetMode="External"/><Relationship Id="rId14" Type="http://schemas.openxmlformats.org/officeDocument/2006/relationships/hyperlink" Target="https://www.usmayors.org/p3/2025-public-infrastructure-spending/" TargetMode="External"/><Relationship Id="rId15" Type="http://schemas.openxmlformats.org/officeDocument/2006/relationships/hyperlink" Target="https://www.usmayors.org/p3/2025-public-infrastructure-spending/" TargetMode="External"/><Relationship Id="rId16" Type="http://schemas.openxmlformats.org/officeDocument/2006/relationships/hyperlink" Target="https://www.usmayors.org/p3/2025-public-infrastructure-spending/" TargetMode="External"/><Relationship Id="rId17" Type="http://schemas.openxmlformats.org/officeDocument/2006/relationships/hyperlink" Target="https://www.usmayors.org/p3/2025-public-infrastructure-spending/" TargetMode="External"/><Relationship Id="rId18" Type="http://schemas.openxmlformats.org/officeDocument/2006/relationships/hyperlink" Target="https://www.nlc.org/article/2026/05/15/what-congress-needs-to-advance-on-water-infrastructure-for-americas-communities/" TargetMode="External"/><Relationship Id="rId19" Type="http://schemas.openxmlformats.org/officeDocument/2006/relationships/hyperlink" Target="https://www.nlc.org/article/2026/05/15/what-congress-needs-to-advance-on-water-infrastructure-for-americas-communities/" TargetMode="External"/><Relationship Id="rId20" Type="http://schemas.openxmlformats.org/officeDocument/2006/relationships/hyperlink" Target="https://www.congress.gov/crs-product/R47474" TargetMode="External"/><Relationship Id="rId21" Type="http://schemas.openxmlformats.org/officeDocument/2006/relationships/hyperlink" Target="https://www.congress.gov/crs-product/IF12950" TargetMode="External"/><Relationship Id="rId22" Type="http://schemas.openxmlformats.org/officeDocument/2006/relationships/hyperlink" Target="https://www.congress.gov/crs-product/IF12950" TargetMode="External"/><Relationship Id="rId23" Type="http://schemas.openxmlformats.org/officeDocument/2006/relationships/hyperlink" Target="https://www.congress.gov/crs-product/IF12950" TargetMode="External"/><Relationship Id="rId24" Type="http://schemas.openxmlformats.org/officeDocument/2006/relationships/hyperlink" Target="https://www.congress.gov/crs-product/IF12950" TargetMode="External"/><Relationship Id="rId25" Type="http://schemas.openxmlformats.org/officeDocument/2006/relationships/hyperlink" Target="https://www.congress.gov/crs-product/IF13177" TargetMode="External"/><Relationship Id="rId26" Type="http://schemas.openxmlformats.org/officeDocument/2006/relationships/hyperlink" Target="https://www.congress.gov/crs-product/IF13177" TargetMode="External"/><Relationship Id="rId27" Type="http://schemas.openxmlformats.org/officeDocument/2006/relationships/hyperlink" Target="https://waterfm.com/house-advances-spending-bill-with-proposed-16-srf-cut/" TargetMode="External"/><Relationship Id="rId28" Type="http://schemas.openxmlformats.org/officeDocument/2006/relationships/hyperlink" Target="https://waterfm.com/house-advances-spending-bill-with-proposed-16-srf-cut/" TargetMode="External"/><Relationship Id="rId29" Type="http://schemas.openxmlformats.org/officeDocument/2006/relationships/hyperlink" Target="https://www.epa.gov/infrastructure/water-infrastructure-investments" TargetMode="External"/><Relationship Id="rId30" Type="http://schemas.openxmlformats.org/officeDocument/2006/relationships/hyperlink" Target="https://www.epa.gov/infrastructure/water-infrastructure-investments" TargetMode="External"/><Relationship Id="rId31" Type="http://schemas.openxmlformats.org/officeDocument/2006/relationships/hyperlink" Target="https://www.epa.gov/infrastructure/water-infrastructure-investments" TargetMode="External"/><Relationship Id="rId32" Type="http://schemas.openxmlformats.org/officeDocument/2006/relationships/hyperlink" Target="https://www.epa.gov/infrastructure/water-infrastructure-investments" TargetMode="External"/><Relationship Id="rId33" Type="http://schemas.openxmlformats.org/officeDocument/2006/relationships/hyperlink" Target="https://www.epa.gov/wifia/wifia-program-announcements" TargetMode="External"/><Relationship Id="rId34" Type="http://schemas.openxmlformats.org/officeDocument/2006/relationships/hyperlink" Target="https://www.epa.gov/wifia/wifia-program-announcements" TargetMode="External"/><Relationship Id="rId35" Type="http://schemas.openxmlformats.org/officeDocument/2006/relationships/hyperlink" Target="https://www.epa.gov/wifia/wifia-program-announcements" TargetMode="External"/><Relationship Id="rId36" Type="http://schemas.openxmlformats.org/officeDocument/2006/relationships/hyperlink" Target="https://www.epw.senate.gov/public/index.cfm/2026/7/epw-committee-passes-bipartisan-water-resources-development-act-of-2026" TargetMode="External"/><Relationship Id="rId37" Type="http://schemas.openxmlformats.org/officeDocument/2006/relationships/hyperlink" Target="https://www.epw.senate.gov/public/index.cfm/2026/7/epw-committee-passes-bipartisan-water-resources-development-act-of-2026" TargetMode="External"/><Relationship Id="rId38" Type="http://schemas.openxmlformats.org/officeDocument/2006/relationships/hyperlink" Target="https://www.epa.gov/cwns/clean-watersheds-needs-survey-cwns-2022-report-and-data" TargetMode="External"/><Relationship Id="rId39" Type="http://schemas.openxmlformats.org/officeDocument/2006/relationships/hyperlink" Target="https://www.epa.gov/cwns/clean-watersheds-needs-survey-cwns-2022-report-and-data" TargetMode="External"/><Relationship Id="rId40" Type="http://schemas.openxmlformats.org/officeDocument/2006/relationships/hyperlink" Target="https://www.epa.gov/dwsrf" TargetMode="External"/><Relationship Id="rId41" Type="http://schemas.openxmlformats.org/officeDocument/2006/relationships/hyperlink" Target="https://www.epa.gov/dwsrf" TargetMode="External"/><Relationship Id="rId42" Type="http://schemas.openxmlformats.org/officeDocument/2006/relationships/hyperlink" Target="https://infrastructurereportcard.org/" TargetMode="External"/><Relationship Id="rId43" Type="http://schemas.openxmlformats.org/officeDocument/2006/relationships/hyperlink" Target="https://bridgingthegap.infrastructurereportcard.org/" TargetMode="External"/><Relationship Id="rId44" Type="http://schemas.openxmlformats.org/officeDocument/2006/relationships/hyperlink" Target="https://www.awwa.org/" TargetMode="External"/><Relationship Id="rId45" Type="http://schemas.openxmlformats.org/officeDocument/2006/relationships/hyperlink" Target="https://www.awwa.org/beyond-the-replacement-era/" TargetMode="External"/><Relationship Id="rId46" Type="http://schemas.openxmlformats.org/officeDocument/2006/relationships/hyperlink" Target="https://digitalcommons.usu.edu/water_rep/" TargetMode="External"/><Relationship Id="rId47" Type="http://schemas.openxmlformats.org/officeDocument/2006/relationships/hyperlink" Target="https://digitalcommons.usu.edu/water_rep/" TargetMode="External"/><Relationship Id="rId48" Type="http://schemas.openxmlformats.org/officeDocument/2006/relationships/hyperlink" Target="https://digitalcommons.usu.edu/water_rep/" TargetMode="External"/><Relationship Id="rId49" Type="http://schemas.openxmlformats.org/officeDocument/2006/relationships/hyperlink" Target="https://digitalcommons.usu.edu/water_rep/" TargetMode="External"/><Relationship Id="rId50" Type="http://schemas.openxmlformats.org/officeDocument/2006/relationships/hyperlink" Target="https://css.umich.edu/publications/factsheets/water/us-water-supply-and-distribution-factsheet" TargetMode="External"/><Relationship Id="rId51" Type="http://schemas.openxmlformats.org/officeDocument/2006/relationships/hyperlink" Target="https://css.umich.edu/publications/factsheets/water/us-water-supply-and-distribution-factsheet" TargetMode="External"/><Relationship Id="rId52" Type="http://schemas.openxmlformats.org/officeDocument/2006/relationships/hyperlink" Target="https://www.usgs.gov/mission-areas/water-resources/science/water-use-united-states" TargetMode="External"/><Relationship Id="rId53" Type="http://schemas.openxmlformats.org/officeDocument/2006/relationships/hyperlink" Target="https://www.usgs.gov/mission-areas/water-resources/science/water-use-united-states" TargetMode="External"/><Relationship Id="rId54" Type="http://schemas.openxmlformats.org/officeDocument/2006/relationships/hyperlink" Target="https://www.usgs.gov/mission-areas/water-resources/science/water-use-united-states" TargetMode="External"/><Relationship Id="rId55" Type="http://schemas.openxmlformats.org/officeDocument/2006/relationships/hyperlink" Target="https://www.usgs.gov/mission-areas/water-resources/science/water-use-united-states" TargetMode="External"/><Relationship Id="rId56" Type="http://schemas.openxmlformats.org/officeDocument/2006/relationships/hyperlink" Target="https://pubs.usgs.gov/publication/cir1441" TargetMode="External"/><Relationship Id="rId57" Type="http://schemas.openxmlformats.org/officeDocument/2006/relationships/hyperlink" Target="https://www.bluefieldresearch.com/research/u-s-municipal-water-sewer-rate-index/" TargetMode="External"/><Relationship Id="rId58" Type="http://schemas.openxmlformats.org/officeDocument/2006/relationships/hyperlink" Target="https://www.bluefieldresearch.com/research/u-s-municipal-water-sewer-rate-index/" TargetMode="External"/><Relationship Id="rId59" Type="http://schemas.openxmlformats.org/officeDocument/2006/relationships/hyperlink" Target="https://www.bluefieldresearch.com/research/u-s-municipal-water-sewer-rate-index/" TargetMode="External"/><Relationship Id="rId60" Type="http://schemas.openxmlformats.org/officeDocument/2006/relationships/hyperlink" Target="https://www.bluefieldresearch.com/research/u-s-municipal-water-sewer-rate-index/" TargetMode="External"/><Relationship Id="rId61" Type="http://schemas.openxmlformats.org/officeDocument/2006/relationships/hyperlink" Target="https://www.bluefieldresearch.com/ns/water-losses-cost-u-s-utilities-us6-4-billion-annually/" TargetMode="External"/><Relationship Id="rId62" Type="http://schemas.openxmlformats.org/officeDocument/2006/relationships/hyperlink" Target="https://www.bluefieldresearch.com/ns/water-losses-cost-u-s-utilities-us6-4-billion-annually/" TargetMode="External"/><Relationship Id="rId63" Type="http://schemas.openxmlformats.org/officeDocument/2006/relationships/drawing" Target="../drawings/drawing1.xml"/>
</Relationships>
</file>

<file path=xl/worksheets/_rels/sheet16.xml.rels><?xml version="1.0" encoding="UTF-8"?>
<Relationships xmlns="http://schemas.openxmlformats.org/package/2006/relationships"><Relationship Id="rId1" Type="http://schemas.openxmlformats.org/officeDocument/2006/relationships/hyperlink" Target="https://web.quartr.com/companies/6132?companyId=6132&amp;documentId=441963&amp;documentType=report&amp;eventId=4798" TargetMode="External"/><Relationship Id="rId2" Type="http://schemas.openxmlformats.org/officeDocument/2006/relationships/hyperlink" Target="https://web.quartr.com/companies/6132?companyId=6132&amp;documentId=441966&amp;documentType=report&amp;eventId=11600" TargetMode="External"/><Relationship Id="rId3" Type="http://schemas.openxmlformats.org/officeDocument/2006/relationships/hyperlink" Target="https://web.quartr.com/companies/6132?companyId=6132&amp;documentId=2547335&amp;documentType=report&amp;eventId=18137" TargetMode="External"/><Relationship Id="rId4" Type="http://schemas.openxmlformats.org/officeDocument/2006/relationships/hyperlink" Target="https://web.quartr.com/companies/6132?companyId=6132&amp;documentId=441962&amp;documentType=report&amp;eventId=24012" TargetMode="External"/><Relationship Id="rId5" Type="http://schemas.openxmlformats.org/officeDocument/2006/relationships/hyperlink" Target="https://web.quartr.com/companies/6132?companyId=6132&amp;documentId=441965&amp;documentType=report&amp;eventId=33541" TargetMode="External"/><Relationship Id="rId6" Type="http://schemas.openxmlformats.org/officeDocument/2006/relationships/hyperlink" Target="https://web.quartr.com/companies/6132?companyId=6132&amp;documentId=441958&amp;documentType=report&amp;eventId=42148" TargetMode="External"/><Relationship Id="rId7" Type="http://schemas.openxmlformats.org/officeDocument/2006/relationships/hyperlink" Target="https://web.quartr.com/companies/6132?companyId=6132&amp;documentId=148368&amp;documentType=report&amp;eventId=48726" TargetMode="External"/><Relationship Id="rId8" Type="http://schemas.openxmlformats.org/officeDocument/2006/relationships/hyperlink" Target="https://web.quartr.com/companies/6132?companyId=6132&amp;documentId=441957&amp;documentType=report&amp;eventId=60565" TargetMode="External"/><Relationship Id="rId9" Type="http://schemas.openxmlformats.org/officeDocument/2006/relationships/hyperlink" Target="https://web.quartr.com/companies/6132?companyId=6132&amp;documentId=441961&amp;documentType=report&amp;eventId=72325" TargetMode="External"/><Relationship Id="rId10" Type="http://schemas.openxmlformats.org/officeDocument/2006/relationships/hyperlink" Target="https://web.quartr.com/companies/6132?companyId=6132&amp;documentId=441956&amp;documentType=report&amp;eventId=101436" TargetMode="External"/><Relationship Id="rId11" Type="http://schemas.openxmlformats.org/officeDocument/2006/relationships/hyperlink" Target="https://web.quartr.com/companies/6132?companyId=6132&amp;documentId=339055&amp;documentType=report&amp;eventId=132879" TargetMode="External"/><Relationship Id="rId12" Type="http://schemas.openxmlformats.org/officeDocument/2006/relationships/hyperlink" Target="https://web.quartr.com/companies/6132?companyId=6132&amp;documentId=441954&amp;documentType=report&amp;eventId=177254" TargetMode="External"/><Relationship Id="rId13" Type="http://schemas.openxmlformats.org/officeDocument/2006/relationships/hyperlink" Target="https://web.quartr.com/companies/6132?companyId=6132&amp;documentId=470183&amp;documentType=report&amp;eventId=196829" TargetMode="External"/><Relationship Id="rId14" Type="http://schemas.openxmlformats.org/officeDocument/2006/relationships/hyperlink" Target="https://web.quartr.com/companies/6132?companyId=6132&amp;documentId=1797676&amp;documentType=report&amp;eventId=227496" TargetMode="External"/><Relationship Id="rId15" Type="http://schemas.openxmlformats.org/officeDocument/2006/relationships/hyperlink" Target="https://web.quartr.com/companies/6132?companyId=6132&amp;documentId=1879604&amp;documentType=report&amp;eventId=257949" TargetMode="External"/><Relationship Id="rId16" Type="http://schemas.openxmlformats.org/officeDocument/2006/relationships/hyperlink" Target="https://web.quartr.com/companies/6132?companyId=6132&amp;documentId=1985947&amp;documentType=report&amp;eventId=330126" TargetMode="External"/><Relationship Id="rId17" Type="http://schemas.openxmlformats.org/officeDocument/2006/relationships/hyperlink" Target="https://web.quartr.com/companies/6132?companyId=6132&amp;documentId=2132390&amp;documentType=report&amp;eventId=351231" TargetMode="External"/><Relationship Id="rId18" Type="http://schemas.openxmlformats.org/officeDocument/2006/relationships/hyperlink" Target="https://web.quartr.com/companies/6132?companyId=6132&amp;documentId=2492848&amp;documentType=report&amp;eventId=384614" TargetMode="External"/><Relationship Id="rId19" Type="http://schemas.openxmlformats.org/officeDocument/2006/relationships/hyperlink" Target="https://web.quartr.com/companies/6132?companyId=6132&amp;documentId=3158185&amp;documentType=report&amp;eventId=423486" TargetMode="External"/><Relationship Id="rId20" Type="http://schemas.openxmlformats.org/officeDocument/2006/relationships/hyperlink" Target="https://web.quartr.com/companies/6132?companyId=6132&amp;documentId=3542255&amp;documentType=report&amp;eventId=614274" TargetMode="External"/><Relationship Id="rId21" Type="http://schemas.openxmlformats.org/officeDocument/2006/relationships/hyperlink" Target="https://web.quartr.com/companies/3672?companyId=3672&amp;documentId=116018&amp;documentType=report&amp;eventId=5169&amp;navigation=external&amp;utm_medium=referral&amp;utm_source=mcp" TargetMode="External"/><Relationship Id="rId22" Type="http://schemas.openxmlformats.org/officeDocument/2006/relationships/hyperlink" Target="https://web.quartr.com/companies/3672?companyId=3672&amp;documentId=1877781&amp;documentType=report&amp;eventId=12268&amp;navigation=external&amp;utm_medium=referral&amp;utm_source=mcp" TargetMode="External"/><Relationship Id="rId23" Type="http://schemas.openxmlformats.org/officeDocument/2006/relationships/hyperlink" Target="https://web.quartr.com/companies/3672?companyId=3672&amp;documentId=131550&amp;documentType=report&amp;eventId=24211&amp;navigation=external&amp;utm_medium=referral&amp;utm_source=mcp" TargetMode="External"/><Relationship Id="rId24" Type="http://schemas.openxmlformats.org/officeDocument/2006/relationships/hyperlink" Target="https://web.quartr.com/companies/3672?companyId=3672&amp;documentId=132869&amp;documentType=report&amp;eventId=28198&amp;navigation=external&amp;utm_medium=referral&amp;utm_source=mcp" TargetMode="External"/><Relationship Id="rId25" Type="http://schemas.openxmlformats.org/officeDocument/2006/relationships/hyperlink" Target="https://web.quartr.com/companies/3672?companyId=3672&amp;documentId=425838&amp;documentType=report&amp;eventId=37960&amp;navigation=external&amp;utm_medium=referral&amp;utm_source=mcp" TargetMode="External"/><Relationship Id="rId26" Type="http://schemas.openxmlformats.org/officeDocument/2006/relationships/hyperlink" Target="https://web.quartr.com/companies/3672?companyId=3672&amp;documentId=425839&amp;documentType=report&amp;eventId=49429&amp;navigation=external&amp;utm_medium=referral&amp;utm_source=mcp" TargetMode="External"/><Relationship Id="rId27" Type="http://schemas.openxmlformats.org/officeDocument/2006/relationships/hyperlink" Target="https://web.quartr.com/companies/3672?companyId=3672&amp;documentId=425837&amp;documentType=report&amp;eventId=57665&amp;navigation=external&amp;utm_medium=referral&amp;utm_source=mcp" TargetMode="External"/><Relationship Id="rId28" Type="http://schemas.openxmlformats.org/officeDocument/2006/relationships/hyperlink" Target="https://web.quartr.com/companies/3672?companyId=3672&amp;documentId=2433336&amp;documentType=report&amp;eventId=72323&amp;navigation=external&amp;utm_medium=referral&amp;utm_source=mcp" TargetMode="External"/><Relationship Id="rId29" Type="http://schemas.openxmlformats.org/officeDocument/2006/relationships/hyperlink" Target="https://web.quartr.com/companies/3672?companyId=3672&amp;documentId=425835&amp;documentType=report&amp;eventId=116839&amp;navigation=external&amp;utm_medium=referral&amp;utm_source=mcp" TargetMode="External"/><Relationship Id="rId30" Type="http://schemas.openxmlformats.org/officeDocument/2006/relationships/hyperlink" Target="https://web.quartr.com/companies/3672?companyId=3672&amp;documentId=425836&amp;documentType=report&amp;eventId=132747&amp;navigation=external&amp;utm_medium=referral&amp;utm_source=mcp" TargetMode="External"/><Relationship Id="rId31" Type="http://schemas.openxmlformats.org/officeDocument/2006/relationships/hyperlink" Target="https://web.quartr.com/companies/3672?companyId=3672&amp;documentId=425834&amp;documentType=report&amp;eventId=173716&amp;navigation=external&amp;utm_medium=referral&amp;utm_source=mcp" TargetMode="External"/><Relationship Id="rId32" Type="http://schemas.openxmlformats.org/officeDocument/2006/relationships/hyperlink" Target="https://web.quartr.com/companies/3672?companyId=3672&amp;documentId=479785&amp;documentType=report&amp;eventId=196669&amp;navigation=external&amp;utm_medium=referral&amp;utm_source=mcp" TargetMode="External"/><Relationship Id="rId33" Type="http://schemas.openxmlformats.org/officeDocument/2006/relationships/hyperlink" Target="https://web.quartr.com/companies/3672?companyId=3672&amp;documentId=2192978&amp;documentType=report&amp;eventId=231877&amp;navigation=external&amp;utm_medium=referral&amp;utm_source=mcp" TargetMode="External"/><Relationship Id="rId34" Type="http://schemas.openxmlformats.org/officeDocument/2006/relationships/hyperlink" Target="https://web.quartr.com/companies/3672?companyId=3672&amp;documentId=2180543&amp;documentType=report&amp;eventId=259866&amp;navigation=external&amp;utm_medium=referral&amp;utm_source=mcp" TargetMode="External"/><Relationship Id="rId35" Type="http://schemas.openxmlformats.org/officeDocument/2006/relationships/hyperlink" Target="https://web.quartr.com/companies/3672?companyId=3672&amp;documentId=2180552&amp;documentType=report&amp;eventId=326153&amp;navigation=external&amp;utm_medium=referral&amp;utm_source=mcp" TargetMode="External"/><Relationship Id="rId36" Type="http://schemas.openxmlformats.org/officeDocument/2006/relationships/hyperlink" Target="https://web.quartr.com/companies/3672?companyId=3672&amp;documentId=2145259&amp;documentType=report&amp;eventId=347925&amp;navigation=external&amp;utm_medium=referral&amp;utm_source=mcp" TargetMode="External"/><Relationship Id="rId37" Type="http://schemas.openxmlformats.org/officeDocument/2006/relationships/hyperlink" Target="https://web.quartr.com/companies/3672?companyId=3672&amp;documentId=2493059&amp;documentType=report&amp;eventId=387340&amp;navigation=external&amp;utm_medium=referral&amp;utm_source=mcp" TargetMode="External"/><Relationship Id="rId38" Type="http://schemas.openxmlformats.org/officeDocument/2006/relationships/hyperlink" Target="https://web.quartr.com/companies/3672?companyId=3672&amp;documentId=2916561&amp;documentType=report&amp;eventId=568148&amp;navigation=external&amp;utm_medium=referral&amp;utm_source=mcp" TargetMode="External"/><Relationship Id="rId39" Type="http://schemas.openxmlformats.org/officeDocument/2006/relationships/hyperlink" Target="https://web.quartr.com/companies/3672?companyId=3672&amp;documentId=3343498&amp;documentType=report&amp;eventId=588828&amp;navigation=external&amp;utm_medium=referral&amp;utm_source=mcp" TargetMode="External"/><Relationship Id="rId40" Type="http://schemas.openxmlformats.org/officeDocument/2006/relationships/hyperlink" Target="https://web.quartr.com/companies/3672?companyId=3672&amp;documentId=3687670&amp;documentType=report&amp;eventId=664852&amp;navigation=external&amp;utm_medium=referral&amp;utm_source=mcp" TargetMode="External"/><Relationship Id="rId4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hyperlink" Target="https://fred.stlouisfed.org/graph/fredgraph.csv?id=TLWSCON" TargetMode="External"/><Relationship Id="rId2" Type="http://schemas.openxmlformats.org/officeDocument/2006/relationships/hyperlink" Target="https://fred.stlouisfed.org/graph/fredgraph.csv?id=TLWSCONS" TargetMode="External"/><Relationship Id="rId3" Type="http://schemas.openxmlformats.org/officeDocument/2006/relationships/hyperlink" Target="https://fred.stlouisfed.org/graph/fredgraph.csv?id=PBWSCON" TargetMode="External"/><Relationship Id="rId4" Type="http://schemas.openxmlformats.org/officeDocument/2006/relationships/hyperlink" Target="https://fred.stlouisfed.org/graph/fredgraph.csv?id=PBWSCONS" TargetMode="External"/><Relationship Id="rId5" Type="http://schemas.openxmlformats.org/officeDocument/2006/relationships/hyperlink" Target="https://fred.stlouisfed.org/graph/fredgraph.csv?id=TLSWDCON" TargetMode="External"/><Relationship Id="rId6" Type="http://schemas.openxmlformats.org/officeDocument/2006/relationships/hyperlink" Target="https://fred.stlouisfed.org/graph/fredgraph.csv?id=TLSWDCONS" TargetMode="External"/><Relationship Id="rId7" Type="http://schemas.openxmlformats.org/officeDocument/2006/relationships/hyperlink" Target="https://fred.stlouisfed.org/graph/fredgraph.csv?id=PBSWGCON" TargetMode="External"/><Relationship Id="rId8" Type="http://schemas.openxmlformats.org/officeDocument/2006/relationships/hyperlink" Target="https://fred.stlouisfed.org/graph/fredgraph.csv?id=PBSWGCONS" TargetMode="External"/><Relationship Id="rId9" Type="http://schemas.openxmlformats.org/officeDocument/2006/relationships/hyperlink" Target="https://fred.stlouisfed.org/graph/fredgraph.csv?id=MPCP14XXS" TargetMode="External"/><Relationship Id="rId10" Type="http://schemas.openxmlformats.org/officeDocument/2006/relationships/hyperlink" Target="https://fred.stlouisfed.org/graph/fredgraph.csv?id=MPCP13XXS" TargetMode="External"/><Relationship Id="rId11" Type="http://schemas.openxmlformats.org/officeDocument/2006/relationships/hyperlink" Target="https://fred.stlouisfed.org/graph/fredgraph.csv?id=CUSR0000SEHG" TargetMode="External"/><Relationship Id="rId12" Type="http://schemas.openxmlformats.org/officeDocument/2006/relationships/hyperlink" Target="https://fred.stlouisfed.org/graph/fredgraph.csv?id=CUUR0000SEHG" TargetMode="External"/><Relationship Id="rId13" Type="http://schemas.openxmlformats.org/officeDocument/2006/relationships/hyperlink" Target="https://fred.stlouisfed.org/graph/fredgraph.csv?id=CUSR0000SEHG01" TargetMode="External"/><Relationship Id="rId14" Type="http://schemas.openxmlformats.org/officeDocument/2006/relationships/hyperlink" Target="https://fred.stlouisfed.org/graph/fredgraph.csv?id=CWSR0000SEHG" TargetMode="External"/><Relationship Id="rId15" Type="http://schemas.openxmlformats.org/officeDocument/2006/relationships/hyperlink" Target="https://fred.stlouisfed.org/graph/fredgraph.csv?id=CPIAUCSL" TargetMode="External"/><Relationship Id="rId16" Type="http://schemas.openxmlformats.org/officeDocument/2006/relationships/hyperlink" Target="https://fred.stlouisfed.org/graph/fredgraph.csv?id=WPU072106033" TargetMode="External"/><Relationship Id="rId17" Type="http://schemas.openxmlformats.org/officeDocument/2006/relationships/hyperlink" Target="https://fred.stlouisfed.org/graph/fredgraph.csv?id=PCU32612232612218" TargetMode="External"/><Relationship Id="rId18" Type="http://schemas.openxmlformats.org/officeDocument/2006/relationships/hyperlink" Target="https://fred.stlouisfed.org/graph/fredgraph.csv?id=WPU07210604" TargetMode="External"/><Relationship Id="rId19" Type="http://schemas.openxmlformats.org/officeDocument/2006/relationships/hyperlink" Target="https://fred.stlouisfed.org/graph/fredgraph.csv?id=PCU3261223261223" TargetMode="External"/><Relationship Id="rId20" Type="http://schemas.openxmlformats.org/officeDocument/2006/relationships/hyperlink" Target="https://fred.stlouisfed.org/graph/fredgraph.csv?id=WPU10150211" TargetMode="External"/><Relationship Id="rId21" Type="http://schemas.openxmlformats.org/officeDocument/2006/relationships/hyperlink" Target="https://fred.stlouisfed.org/graph/fredgraph.csv?id=WPU101502" TargetMode="External"/><Relationship Id="rId22" Type="http://schemas.openxmlformats.org/officeDocument/2006/relationships/hyperlink" Target="https://fred.stlouisfed.org/graph/fredgraph.csv?id=WPU1015021" TargetMode="External"/><Relationship Id="rId23" Type="http://schemas.openxmlformats.org/officeDocument/2006/relationships/hyperlink" Target="https://fred.stlouisfed.org/graph/fredgraph.csv?id=WPU10150227" TargetMode="External"/><Relationship Id="rId24" Type="http://schemas.openxmlformats.org/officeDocument/2006/relationships/hyperlink" Target="https://www.cbo.gov/publication/60874" TargetMode="External"/><Relationship Id="rId25" Type="http://schemas.openxmlformats.org/officeDocument/2006/relationships/hyperlink" Target="https://www.census.gov/construction/c30/historical_data.html" TargetMode="External"/><Relationship Id="rId26" Type="http://schemas.openxmlformats.org/officeDocument/2006/relationships/hyperlink" Target="https://www.census.gov/construction/c30/" TargetMode="External"/><Relationship Id="rId27" Type="http://schemas.openxmlformats.org/officeDocument/2006/relationships/hyperlink" Target="https://www.usmayors.org/p3/2025-public-infrastructure-spending/" TargetMode="External"/><Relationship Id="rId28" Type="http://schemas.openxmlformats.org/officeDocument/2006/relationships/hyperlink" Target="https://www.congress.gov/crs-product/IF13177" TargetMode="External"/><Relationship Id="rId29" Type="http://schemas.openxmlformats.org/officeDocument/2006/relationships/hyperlink" Target="https://www.congress.gov/crs-product/IF12950" TargetMode="External"/><Relationship Id="rId30" Type="http://schemas.openxmlformats.org/officeDocument/2006/relationships/hyperlink" Target="https://www.congress.gov/crs-product/R47474" TargetMode="External"/><Relationship Id="rId31" Type="http://schemas.openxmlformats.org/officeDocument/2006/relationships/hyperlink" Target="https://www.congress.gov/crs-product/R47878" TargetMode="External"/><Relationship Id="rId32" Type="http://schemas.openxmlformats.org/officeDocument/2006/relationships/hyperlink" Target="https://www.congress.gov/crs-product/R48565" TargetMode="External"/><Relationship Id="rId33" Type="http://schemas.openxmlformats.org/officeDocument/2006/relationships/hyperlink" Target="https://www.epa.gov/wifia/wifia-program-announcements" TargetMode="External"/><Relationship Id="rId34" Type="http://schemas.openxmlformats.org/officeDocument/2006/relationships/hyperlink" Target="https://www.epa.gov/infrastructure/water-infrastructure-investments" TargetMode="External"/><Relationship Id="rId35" Type="http://schemas.openxmlformats.org/officeDocument/2006/relationships/hyperlink" Target="https://sdwis.epa.gov/ords/sfdw_pub/r/sfdw/cwns_pub/data-download" TargetMode="External"/><Relationship Id="rId36" Type="http://schemas.openxmlformats.org/officeDocument/2006/relationships/hyperlink" Target="https://www.epa.gov/cwns/clean-watersheds-needs-survey-cwns-2022-report-and-data" TargetMode="External"/><Relationship Id="rId37" Type="http://schemas.openxmlformats.org/officeDocument/2006/relationships/hyperlink" Target="https://www.hydroshare.org/resource/3dab07fd628a4af2ba812f038b1af89f/" TargetMode="External"/><Relationship Id="rId38" Type="http://schemas.openxmlformats.org/officeDocument/2006/relationships/hyperlink" Target="https://www.epa.gov/dwsrf" TargetMode="External"/><Relationship Id="rId39" Type="http://schemas.openxmlformats.org/officeDocument/2006/relationships/hyperlink" Target="https://www.usgs.gov/mission-areas/water-resources/science/water-use-united-states" TargetMode="External"/><Relationship Id="rId40" Type="http://schemas.openxmlformats.org/officeDocument/2006/relationships/hyperlink" Target="https://digitalcommons.usu.edu/water_rep/" TargetMode="External"/><Relationship Id="rId41" Type="http://schemas.openxmlformats.org/officeDocument/2006/relationships/hyperlink" Target="https://www.phmsa.dot.gov/data-and-statistics/pipeline-replacement/decade-inventory" TargetMode="External"/><Relationship Id="rId42" Type="http://schemas.openxmlformats.org/officeDocument/2006/relationships/hyperlink" Target="https://sdwis.epa.gov/ords/sfdw_pub/f?p=SDWIS_FED_REPORTS_PUBLIC" TargetMode="External"/><Relationship Id="rId43" Type="http://schemas.openxmlformats.org/officeDocument/2006/relationships/hyperlink" Target="https://bridgingthegap.infrastructurereportcard.org/" TargetMode="External"/><Relationship Id="rId44" Type="http://schemas.openxmlformats.org/officeDocument/2006/relationships/hyperlink" Target="https://infrastructurereportcard.org/" TargetMode="External"/><Relationship Id="rId45" Type="http://schemas.openxmlformats.org/officeDocument/2006/relationships/hyperlink" Target="https://www.awwa.org/beyond-the-replacement-era/" TargetMode="External"/><Relationship Id="rId46" Type="http://schemas.openxmlformats.org/officeDocument/2006/relationships/hyperlink" Target="https://www.bluefieldresearch.com/research/u-s-municipal-water-sewer-rate-index/" TargetMode="External"/><Relationship Id="rId47" Type="http://schemas.openxmlformats.org/officeDocument/2006/relationships/hyperlink" Target="https://emma.msrb.org/" TargetMode="External"/><Relationship Id="rId48" Type="http://schemas.openxmlformats.org/officeDocument/2006/relationships/hyperlink" Target="https://efts.sec.gov/LATEST/search-index?q=%22water%20main%22&amp;forms=10-K" TargetMode="External"/><Relationship Id="rId49" Type="http://schemas.openxmlformats.org/officeDocument/2006/relationships/hyperlink" Target="https://web.quartr.com/companies/6132" TargetMode="External"/><Relationship Id="rId50" Type="http://schemas.openxmlformats.org/officeDocument/2006/relationships/hyperlink" Target="https://web.quartr.com/companies/3672" TargetMode="External"/><Relationship Id="rId51" Type="http://schemas.openxmlformats.org/officeDocument/2006/relationships/hyperlink" Target="https://data-seattlecitygis.opendata.arcgis.com/" TargetMode="External"/><Relationship Id="rId52" Type="http://schemas.openxmlformats.org/officeDocument/2006/relationships/hyperlink" Target="https://opendata.dc.gov/datasets/dc-water-main-breaks" TargetMode="External"/><Relationship Id="rId53" Type="http://schemas.openxmlformats.org/officeDocument/2006/relationships/hyperlink" Target="https://catalog.data.gov/dataset?metadata_type=geospatial" TargetMode="External"/><Relationship Id="rId54" Type="http://schemas.openxmlformats.org/officeDocument/2006/relationships/hyperlink" Target="https://health.data.ny.gov/Health/New-York-State-Lead-Service-Line-Inventory-Map/fkii-zkcq" TargetMode="External"/><Relationship Id="rId55" Type="http://schemas.openxmlformats.org/officeDocument/2006/relationships/hyperlink" Target="https://maps.umn.edu/LSL/" TargetMode="External"/><Relationship Id="rId56"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B52"/>
    <pageSetUpPr fitToPage="false"/>
  </sheetPr>
  <dimension ref="A1:C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2"/>
    <col collapsed="false" customWidth="true" hidden="false" outlineLevel="0" max="3" min="3" style="0" width="46"/>
  </cols>
  <sheetData>
    <row r="1" customFormat="false" ht="21.75" hidden="false" customHeight="tru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53.7" hidden="false" customHeight="false" outlineLevel="0" collapsed="false">
      <c r="A5" s="4" t="s">
        <v>3</v>
      </c>
    </row>
    <row r="7" customFormat="false" ht="30" hidden="false" customHeight="true" outlineLevel="0" collapsed="false">
      <c r="A7" s="5" t="s">
        <v>4</v>
      </c>
      <c r="B7" s="5" t="s">
        <v>5</v>
      </c>
      <c r="C7" s="5" t="s">
        <v>6</v>
      </c>
    </row>
    <row r="8" customFormat="false" ht="15" hidden="false" customHeight="false" outlineLevel="0" collapsed="false">
      <c r="A8" s="6" t="s">
        <v>7</v>
      </c>
      <c r="B8" s="6" t="s">
        <v>8</v>
      </c>
      <c r="C8" s="6" t="s">
        <v>9</v>
      </c>
    </row>
    <row r="9" customFormat="false" ht="15" hidden="false" customHeight="false" outlineLevel="0" collapsed="false">
      <c r="A9" s="6" t="s">
        <v>10</v>
      </c>
      <c r="B9" s="6" t="s">
        <v>11</v>
      </c>
      <c r="C9" s="6" t="s">
        <v>12</v>
      </c>
    </row>
    <row r="10" customFormat="false" ht="15" hidden="false" customHeight="false" outlineLevel="0" collapsed="false">
      <c r="A10" s="6" t="s">
        <v>13</v>
      </c>
      <c r="B10" s="6" t="s">
        <v>14</v>
      </c>
      <c r="C10" s="6" t="s">
        <v>15</v>
      </c>
    </row>
    <row r="11" customFormat="false" ht="15" hidden="false" customHeight="false" outlineLevel="0" collapsed="false">
      <c r="A11" s="6" t="s">
        <v>16</v>
      </c>
      <c r="B11" s="6" t="s">
        <v>17</v>
      </c>
      <c r="C11" s="6" t="s">
        <v>15</v>
      </c>
    </row>
    <row r="12" customFormat="false" ht="15" hidden="false" customHeight="false" outlineLevel="0" collapsed="false">
      <c r="A12" s="6" t="s">
        <v>18</v>
      </c>
      <c r="B12" s="6" t="s">
        <v>19</v>
      </c>
      <c r="C12" s="6" t="s">
        <v>20</v>
      </c>
    </row>
    <row r="13" customFormat="false" ht="15" hidden="false" customHeight="false" outlineLevel="0" collapsed="false">
      <c r="A13" s="6" t="s">
        <v>21</v>
      </c>
      <c r="B13" s="6" t="s">
        <v>22</v>
      </c>
      <c r="C13" s="6" t="s">
        <v>20</v>
      </c>
    </row>
    <row r="14" customFormat="false" ht="15" hidden="false" customHeight="false" outlineLevel="0" collapsed="false">
      <c r="A14" s="6" t="s">
        <v>23</v>
      </c>
      <c r="B14" s="6" t="s">
        <v>24</v>
      </c>
      <c r="C14" s="6" t="s">
        <v>15</v>
      </c>
    </row>
    <row r="15" customFormat="false" ht="15" hidden="false" customHeight="false" outlineLevel="0" collapsed="false">
      <c r="A15" s="6" t="s">
        <v>25</v>
      </c>
      <c r="B15" s="6" t="s">
        <v>26</v>
      </c>
      <c r="C15" s="6" t="s">
        <v>15</v>
      </c>
    </row>
    <row r="16" customFormat="false" ht="15" hidden="false" customHeight="false" outlineLevel="0" collapsed="false">
      <c r="A16" s="6" t="s">
        <v>27</v>
      </c>
      <c r="B16" s="6" t="s">
        <v>28</v>
      </c>
      <c r="C16" s="6" t="s">
        <v>20</v>
      </c>
    </row>
    <row r="17" customFormat="false" ht="15" hidden="false" customHeight="false" outlineLevel="0" collapsed="false">
      <c r="A17" s="6" t="s">
        <v>29</v>
      </c>
      <c r="B17" s="6" t="s">
        <v>30</v>
      </c>
      <c r="C17" s="6" t="s">
        <v>15</v>
      </c>
    </row>
    <row r="18" customFormat="false" ht="15" hidden="false" customHeight="false" outlineLevel="0" collapsed="false">
      <c r="A18" s="6" t="s">
        <v>31</v>
      </c>
      <c r="B18" s="6" t="s">
        <v>32</v>
      </c>
      <c r="C18" s="6" t="s">
        <v>15</v>
      </c>
    </row>
    <row r="19" customFormat="false" ht="15" hidden="false" customHeight="false" outlineLevel="0" collapsed="false">
      <c r="A19" s="6" t="s">
        <v>33</v>
      </c>
      <c r="B19" s="6" t="s">
        <v>34</v>
      </c>
      <c r="C19" s="6" t="s">
        <v>15</v>
      </c>
    </row>
    <row r="20" customFormat="false" ht="15" hidden="false" customHeight="false" outlineLevel="0" collapsed="false">
      <c r="A20" s="6" t="s">
        <v>35</v>
      </c>
      <c r="B20" s="6" t="s">
        <v>36</v>
      </c>
      <c r="C20" s="6" t="s">
        <v>37</v>
      </c>
    </row>
    <row r="21" customFormat="false" ht="15" hidden="false" customHeight="false" outlineLevel="0" collapsed="false">
      <c r="A21" s="6" t="s">
        <v>38</v>
      </c>
      <c r="B21" s="6" t="s">
        <v>39</v>
      </c>
      <c r="C21" s="6" t="s">
        <v>20</v>
      </c>
    </row>
    <row r="22" customFormat="false" ht="15" hidden="false" customHeight="false" outlineLevel="0" collapsed="false">
      <c r="A22" s="6" t="s">
        <v>40</v>
      </c>
      <c r="B22" s="6" t="s">
        <v>41</v>
      </c>
      <c r="C22" s="6" t="s">
        <v>20</v>
      </c>
    </row>
    <row r="23" customFormat="false" ht="15" hidden="false" customHeight="false" outlineLevel="0" collapsed="false">
      <c r="A23" s="6" t="s">
        <v>42</v>
      </c>
      <c r="B23" s="6" t="s">
        <v>43</v>
      </c>
      <c r="C23" s="6" t="s">
        <v>37</v>
      </c>
    </row>
    <row r="24" customFormat="false" ht="15" hidden="false" customHeight="false" outlineLevel="0" collapsed="false">
      <c r="A24" s="6" t="s">
        <v>44</v>
      </c>
      <c r="B24" s="6" t="s">
        <v>45</v>
      </c>
      <c r="C24" s="6" t="s">
        <v>37</v>
      </c>
    </row>
    <row r="26" customFormat="false" ht="15" hidden="false" customHeight="false" outlineLevel="0" collapsed="false">
      <c r="A26" s="3" t="s">
        <v>46</v>
      </c>
    </row>
    <row r="27" customFormat="false" ht="30" hidden="false" customHeight="true" outlineLevel="0" collapsed="false">
      <c r="A27" s="5" t="s">
        <v>47</v>
      </c>
      <c r="B27" s="5" t="s">
        <v>48</v>
      </c>
      <c r="C27" s="5" t="s">
        <v>49</v>
      </c>
    </row>
    <row r="28" customFormat="false" ht="15" hidden="false" customHeight="false" outlineLevel="0" collapsed="false">
      <c r="A28" s="7" t="s">
        <v>50</v>
      </c>
      <c r="B28" s="6" t="s">
        <v>51</v>
      </c>
      <c r="C28" s="8" t="s">
        <v>52</v>
      </c>
    </row>
    <row r="29" customFormat="false" ht="15" hidden="false" customHeight="false" outlineLevel="0" collapsed="false">
      <c r="A29" s="7" t="s">
        <v>53</v>
      </c>
      <c r="B29" s="6" t="s">
        <v>54</v>
      </c>
      <c r="C29" s="6" t="s">
        <v>55</v>
      </c>
    </row>
    <row r="30" customFormat="false" ht="15" hidden="false" customHeight="false" outlineLevel="0" collapsed="false">
      <c r="A30" s="7" t="s">
        <v>56</v>
      </c>
      <c r="B30" s="6" t="s">
        <v>57</v>
      </c>
      <c r="C30" s="9" t="s">
        <v>58</v>
      </c>
    </row>
    <row r="31" customFormat="false" ht="15" hidden="false" customHeight="false" outlineLevel="0" collapsed="false">
      <c r="A31" s="7" t="s">
        <v>59</v>
      </c>
      <c r="B31" s="6" t="s">
        <v>60</v>
      </c>
      <c r="C31" s="10" t="s">
        <v>61</v>
      </c>
    </row>
    <row r="33" customFormat="false" ht="15" hidden="false" customHeight="false" outlineLevel="0" collapsed="false">
      <c r="A33" s="3" t="s">
        <v>62</v>
      </c>
    </row>
    <row r="34" customFormat="false" ht="53.7" hidden="false" customHeight="false" outlineLevel="0" collapsed="false">
      <c r="A34" s="4" t="s">
        <v>63</v>
      </c>
    </row>
    <row r="36" customFormat="false" ht="43.25" hidden="false" customHeight="false" outlineLevel="0" collapsed="false">
      <c r="A36" s="4" t="s">
        <v>64</v>
      </c>
    </row>
    <row r="38" customFormat="false" ht="32.8" hidden="false" customHeight="false" outlineLevel="0" collapsed="false">
      <c r="A38" s="4" t="s">
        <v>65</v>
      </c>
    </row>
    <row r="40" customFormat="false" ht="15" hidden="false" customHeight="false" outlineLevel="0" collapsed="false">
      <c r="A40" s="3" t="s">
        <v>66</v>
      </c>
    </row>
    <row r="41" customFormat="false" ht="85.05" hidden="false" customHeight="false" outlineLevel="0" collapsed="false">
      <c r="A41" s="4" t="s">
        <v>67</v>
      </c>
    </row>
    <row r="43" customFormat="false" ht="64.15" hidden="false" customHeight="false" outlineLevel="0" collapsed="false">
      <c r="A43" s="4" t="s">
        <v>68</v>
      </c>
    </row>
    <row r="45" customFormat="false" ht="32.8" hidden="false" customHeight="false" outlineLevel="0" collapsed="false">
      <c r="A45" s="4" t="s">
        <v>69</v>
      </c>
    </row>
    <row r="47" customFormat="false" ht="15" hidden="false" customHeight="false" outlineLevel="0" collapsed="false">
      <c r="A47" s="2" t="s">
        <v>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2"/>
    <col collapsed="false" customWidth="true" hidden="false" outlineLevel="0" max="4" min="4" style="0" width="62"/>
  </cols>
  <sheetData>
    <row r="1" customFormat="false" ht="21.75" hidden="false" customHeight="true" outlineLevel="0" collapsed="false">
      <c r="A1" s="1" t="s">
        <v>10</v>
      </c>
    </row>
    <row r="2" customFormat="false" ht="15" hidden="false" customHeight="false" outlineLevel="0" collapsed="false">
      <c r="A2" s="2" t="s">
        <v>71</v>
      </c>
    </row>
    <row r="4" customFormat="false" ht="15" hidden="false" customHeight="false" outlineLevel="0" collapsed="false">
      <c r="A4" s="3" t="s">
        <v>72</v>
      </c>
    </row>
    <row r="5" customFormat="false" ht="30" hidden="false" customHeight="true" outlineLevel="0" collapsed="false">
      <c r="A5" s="5" t="s">
        <v>73</v>
      </c>
      <c r="B5" s="5" t="s">
        <v>74</v>
      </c>
      <c r="C5" s="5" t="s">
        <v>75</v>
      </c>
      <c r="D5" s="5" t="s">
        <v>76</v>
      </c>
    </row>
    <row r="6" customFormat="false" ht="22.35" hidden="false" customHeight="false" outlineLevel="0" collapsed="false">
      <c r="A6" s="7" t="s">
        <v>77</v>
      </c>
      <c r="B6" s="11" t="n">
        <v>68</v>
      </c>
      <c r="C6" s="6" t="s">
        <v>78</v>
      </c>
      <c r="D6" s="12" t="s">
        <v>79</v>
      </c>
    </row>
    <row r="7" customFormat="false" ht="15" hidden="false" customHeight="false" outlineLevel="0" collapsed="false">
      <c r="A7" s="7" t="s">
        <v>80</v>
      </c>
      <c r="B7" s="13" t="n">
        <v>0.045</v>
      </c>
      <c r="C7" s="6" t="s">
        <v>81</v>
      </c>
      <c r="D7" s="12" t="s">
        <v>82</v>
      </c>
    </row>
    <row r="8" customFormat="false" ht="15" hidden="false" customHeight="false" outlineLevel="0" collapsed="false">
      <c r="A8" s="7" t="s">
        <v>83</v>
      </c>
      <c r="B8" s="14" t="n">
        <v>8.7</v>
      </c>
      <c r="C8" s="6" t="s">
        <v>84</v>
      </c>
      <c r="D8" s="12" t="s">
        <v>85</v>
      </c>
    </row>
    <row r="9" customFormat="false" ht="22.35" hidden="false" customHeight="false" outlineLevel="0" collapsed="false">
      <c r="A9" s="7" t="s">
        <v>86</v>
      </c>
      <c r="B9" s="14" t="n">
        <v>2</v>
      </c>
      <c r="C9" s="6" t="s">
        <v>84</v>
      </c>
      <c r="D9" s="12" t="s">
        <v>87</v>
      </c>
    </row>
    <row r="10" customFormat="false" ht="15" hidden="false" customHeight="false" outlineLevel="0" collapsed="false">
      <c r="A10" s="7" t="s">
        <v>88</v>
      </c>
      <c r="B10" s="15" t="n">
        <f aca="false">B8-B9</f>
        <v>6.7</v>
      </c>
      <c r="C10" s="6" t="s">
        <v>84</v>
      </c>
      <c r="D10" s="12" t="s">
        <v>89</v>
      </c>
    </row>
    <row r="11" customFormat="false" ht="15" hidden="false" customHeight="false" outlineLevel="0" collapsed="false">
      <c r="A11" s="6" t="s">
        <v>90</v>
      </c>
      <c r="B11" s="16" t="n">
        <f aca="false">B10/B6</f>
        <v>0.0985294117647059</v>
      </c>
      <c r="C11" s="6" t="s">
        <v>91</v>
      </c>
      <c r="D11" s="12" t="s">
        <v>92</v>
      </c>
    </row>
    <row r="13" customFormat="false" ht="15" hidden="false" customHeight="false" outlineLevel="0" collapsed="false">
      <c r="A13" s="3" t="s">
        <v>93</v>
      </c>
    </row>
    <row r="14" customFormat="false" ht="30" hidden="false" customHeight="true" outlineLevel="0" collapsed="false">
      <c r="A14" s="5" t="s">
        <v>94</v>
      </c>
      <c r="B14" s="5" t="s">
        <v>95</v>
      </c>
      <c r="C14" s="5" t="s">
        <v>96</v>
      </c>
      <c r="D14" s="5" t="s">
        <v>97</v>
      </c>
    </row>
    <row r="15" customFormat="false" ht="15" hidden="false" customHeight="false" outlineLevel="0" collapsed="false">
      <c r="A15" s="7" t="s">
        <v>98</v>
      </c>
      <c r="B15" s="17" t="n">
        <v>0.03</v>
      </c>
      <c r="C15" s="14" t="n">
        <v>9</v>
      </c>
      <c r="D15" s="18" t="n">
        <v>0.5</v>
      </c>
    </row>
    <row r="16" customFormat="false" ht="15" hidden="false" customHeight="false" outlineLevel="0" collapsed="false">
      <c r="A16" s="19" t="s">
        <v>99</v>
      </c>
      <c r="B16" s="20" t="n">
        <f aca="false">B7</f>
        <v>0.045</v>
      </c>
      <c r="C16" s="21" t="n">
        <f aca="false">B10</f>
        <v>6.7</v>
      </c>
      <c r="D16" s="22" t="n">
        <v>1</v>
      </c>
    </row>
    <row r="17" customFormat="false" ht="15" hidden="false" customHeight="false" outlineLevel="0" collapsed="false">
      <c r="A17" s="7" t="s">
        <v>100</v>
      </c>
      <c r="B17" s="17" t="n">
        <v>0.055</v>
      </c>
      <c r="C17" s="14" t="n">
        <v>4</v>
      </c>
      <c r="D17" s="18" t="n">
        <v>1.1</v>
      </c>
    </row>
    <row r="18" customFormat="false" ht="43.25" hidden="false" customHeight="false" outlineLevel="0" collapsed="false">
      <c r="A18" s="4" t="s">
        <v>101</v>
      </c>
    </row>
    <row r="21" customFormat="false" ht="15" hidden="false" customHeight="false" outlineLevel="0" collapsed="false">
      <c r="A21" s="3" t="s">
        <v>102</v>
      </c>
    </row>
    <row r="22" customFormat="false" ht="30" hidden="false" customHeight="true" outlineLevel="0" collapsed="false">
      <c r="A22" s="5" t="s">
        <v>103</v>
      </c>
      <c r="B22" s="5" t="s">
        <v>75</v>
      </c>
      <c r="C22" s="5" t="s">
        <v>104</v>
      </c>
      <c r="D22" s="5" t="s">
        <v>105</v>
      </c>
      <c r="E22" s="5" t="s">
        <v>106</v>
      </c>
      <c r="F22" s="5" t="s">
        <v>107</v>
      </c>
      <c r="G22" s="5" t="s">
        <v>108</v>
      </c>
      <c r="H22" s="5" t="s">
        <v>109</v>
      </c>
      <c r="I22" s="5" t="s">
        <v>110</v>
      </c>
      <c r="J22" s="5" t="s">
        <v>111</v>
      </c>
      <c r="K22" s="5" t="s">
        <v>112</v>
      </c>
      <c r="L22" s="5" t="s">
        <v>113</v>
      </c>
    </row>
    <row r="23" customFormat="false" ht="15" hidden="false" customHeight="false" outlineLevel="0" collapsed="false">
      <c r="A23" s="7" t="s">
        <v>114</v>
      </c>
      <c r="B23" s="12" t="s">
        <v>115</v>
      </c>
      <c r="C23" s="17" t="n">
        <v>0</v>
      </c>
      <c r="D23" s="17" t="n">
        <v>0.15</v>
      </c>
      <c r="E23" s="17" t="n">
        <v>0.4</v>
      </c>
      <c r="F23" s="17" t="n">
        <v>0.75</v>
      </c>
      <c r="G23" s="17" t="n">
        <v>1</v>
      </c>
      <c r="H23" s="17" t="n">
        <v>1</v>
      </c>
      <c r="I23" s="17" t="n">
        <v>1</v>
      </c>
      <c r="J23" s="17" t="n">
        <v>1</v>
      </c>
      <c r="K23" s="17" t="n">
        <v>1</v>
      </c>
      <c r="L23" s="17" t="n">
        <v>1</v>
      </c>
    </row>
    <row r="24" customFormat="false" ht="15" hidden="false" customHeight="false" outlineLevel="0" collapsed="false">
      <c r="A24" s="7" t="s">
        <v>116</v>
      </c>
      <c r="B24" s="12" t="s">
        <v>78</v>
      </c>
      <c r="C24" s="14" t="n">
        <v>0</v>
      </c>
      <c r="D24" s="14" t="n">
        <v>2</v>
      </c>
      <c r="E24" s="14" t="n">
        <v>3.5</v>
      </c>
      <c r="F24" s="14" t="n">
        <v>5</v>
      </c>
      <c r="G24" s="14" t="n">
        <v>5.5</v>
      </c>
      <c r="H24" s="14" t="n">
        <v>5.5</v>
      </c>
      <c r="I24" s="14" t="n">
        <v>5</v>
      </c>
      <c r="J24" s="14" t="n">
        <v>4.5</v>
      </c>
      <c r="K24" s="14" t="n">
        <v>3.5</v>
      </c>
      <c r="L24" s="14" t="n">
        <v>2</v>
      </c>
    </row>
    <row r="25" customFormat="false" ht="15" hidden="false" customHeight="false" outlineLevel="0" collapsed="false">
      <c r="A25" s="7" t="s">
        <v>117</v>
      </c>
      <c r="B25" s="12" t="s">
        <v>78</v>
      </c>
      <c r="C25" s="14" t="n">
        <v>0</v>
      </c>
      <c r="D25" s="14" t="n">
        <v>1</v>
      </c>
      <c r="E25" s="14" t="n">
        <v>1.8</v>
      </c>
      <c r="F25" s="14" t="n">
        <v>2.5</v>
      </c>
      <c r="G25" s="14" t="n">
        <v>2.5</v>
      </c>
      <c r="H25" s="14" t="n">
        <v>2</v>
      </c>
      <c r="I25" s="14" t="n">
        <v>1.5</v>
      </c>
      <c r="J25" s="14" t="n">
        <v>1.2</v>
      </c>
      <c r="K25" s="14" t="n">
        <v>1</v>
      </c>
      <c r="L25" s="14" t="n">
        <v>1</v>
      </c>
    </row>
    <row r="27" customFormat="false" ht="32.8" hidden="false" customHeight="false" outlineLevel="0" collapsed="false">
      <c r="A27" s="4" t="s">
        <v>118</v>
      </c>
    </row>
    <row r="28" customFormat="false" ht="32.8" hidden="false" customHeight="false" outlineLevel="0" collapsed="false">
      <c r="A28" s="4" t="s">
        <v>119</v>
      </c>
    </row>
    <row r="29" customFormat="false" ht="43.25" hidden="false" customHeight="false" outlineLevel="0" collapsed="false">
      <c r="A29" s="4" t="s">
        <v>120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12" min="3" style="0" width="11"/>
  </cols>
  <sheetData>
    <row r="1" customFormat="false" ht="21.75" hidden="false" customHeight="true" outlineLevel="0" collapsed="false">
      <c r="A1" s="1" t="s">
        <v>121</v>
      </c>
    </row>
    <row r="2" customFormat="false" ht="15" hidden="false" customHeight="false" outlineLevel="0" collapsed="false">
      <c r="A2" s="2" t="s">
        <v>122</v>
      </c>
    </row>
    <row r="4" customFormat="false" ht="30" hidden="false" customHeight="true" outlineLevel="0" collapsed="false">
      <c r="A4" s="5" t="s">
        <v>123</v>
      </c>
      <c r="B4" s="5" t="s">
        <v>76</v>
      </c>
      <c r="C4" s="5" t="s">
        <v>104</v>
      </c>
      <c r="D4" s="5" t="s">
        <v>105</v>
      </c>
      <c r="E4" s="5" t="s">
        <v>106</v>
      </c>
      <c r="F4" s="5" t="s">
        <v>107</v>
      </c>
      <c r="G4" s="5" t="s">
        <v>108</v>
      </c>
      <c r="H4" s="5" t="s">
        <v>109</v>
      </c>
      <c r="I4" s="5" t="s">
        <v>110</v>
      </c>
      <c r="J4" s="5" t="s">
        <v>111</v>
      </c>
      <c r="K4" s="5" t="s">
        <v>112</v>
      </c>
      <c r="L4" s="5" t="s">
        <v>113</v>
      </c>
    </row>
    <row r="5" customFormat="false" ht="22.35" hidden="false" customHeight="false" outlineLevel="0" collapsed="false">
      <c r="A5" s="7" t="s">
        <v>124</v>
      </c>
      <c r="B5" s="12" t="s">
        <v>125</v>
      </c>
      <c r="C5" s="23" t="n">
        <f aca="false">Assumptions!$B$6*(1+Assumptions!$B$7)^0</f>
        <v>68</v>
      </c>
      <c r="D5" s="23" t="n">
        <f aca="false">Assumptions!$B$6*(1+Assumptions!$B$7)^1</f>
        <v>71.06</v>
      </c>
      <c r="E5" s="23" t="n">
        <f aca="false">Assumptions!$B$6*(1+Assumptions!$B$7)^2</f>
        <v>74.2577</v>
      </c>
      <c r="F5" s="23" t="n">
        <f aca="false">Assumptions!$B$6*(1+Assumptions!$B$7)^3</f>
        <v>77.5992965</v>
      </c>
      <c r="G5" s="23" t="n">
        <f aca="false">Assumptions!$B$6*(1+Assumptions!$B$7)^4</f>
        <v>81.0912648425</v>
      </c>
      <c r="H5" s="23" t="n">
        <f aca="false">Assumptions!$B$6*(1+Assumptions!$B$7)^5</f>
        <v>84.7403717604125</v>
      </c>
      <c r="I5" s="23" t="n">
        <f aca="false">Assumptions!$B$6*(1+Assumptions!$B$7)^6</f>
        <v>88.553688489631</v>
      </c>
      <c r="J5" s="23" t="n">
        <f aca="false">Assumptions!$B$6*(1+Assumptions!$B$7)^7</f>
        <v>92.5386044716644</v>
      </c>
      <c r="K5" s="23" t="n">
        <f aca="false">Assumptions!$B$6*(1+Assumptions!$B$7)^8</f>
        <v>96.7028416728893</v>
      </c>
      <c r="L5" s="23" t="n">
        <f aca="false">Assumptions!$B$6*(1+Assumptions!$B$7)^9</f>
        <v>101.054469548169</v>
      </c>
    </row>
    <row r="6" customFormat="false" ht="15" hidden="false" customHeight="false" outlineLevel="0" collapsed="false">
      <c r="A6" s="7" t="s">
        <v>126</v>
      </c>
      <c r="B6" s="12" t="s">
        <v>127</v>
      </c>
      <c r="C6" s="23" t="n">
        <f aca="false">-Assumptions!$B$10*Assumptions!C$23</f>
        <v>-0</v>
      </c>
      <c r="D6" s="23" t="n">
        <f aca="false">-Assumptions!$B$10*Assumptions!D$23</f>
        <v>-1.005</v>
      </c>
      <c r="E6" s="23" t="n">
        <f aca="false">-Assumptions!$B$10*Assumptions!E$23</f>
        <v>-2.68</v>
      </c>
      <c r="F6" s="23" t="n">
        <f aca="false">-Assumptions!$B$10*Assumptions!F$23</f>
        <v>-5.025</v>
      </c>
      <c r="G6" s="23" t="n">
        <f aca="false">-Assumptions!$B$10*Assumptions!G$23</f>
        <v>-6.7</v>
      </c>
      <c r="H6" s="23" t="n">
        <f aca="false">-Assumptions!$B$10*Assumptions!H$23</f>
        <v>-6.7</v>
      </c>
      <c r="I6" s="23" t="n">
        <f aca="false">-Assumptions!$B$10*Assumptions!I$23</f>
        <v>-6.7</v>
      </c>
      <c r="J6" s="23" t="n">
        <f aca="false">-Assumptions!$B$10*Assumptions!J$23</f>
        <v>-6.7</v>
      </c>
      <c r="K6" s="23" t="n">
        <f aca="false">-Assumptions!$B$10*Assumptions!K$23</f>
        <v>-6.7</v>
      </c>
      <c r="L6" s="23" t="n">
        <f aca="false">-Assumptions!$B$10*Assumptions!L$23</f>
        <v>-6.7</v>
      </c>
    </row>
    <row r="7" customFormat="false" ht="15" hidden="false" customHeight="false" outlineLevel="0" collapsed="false">
      <c r="A7" s="7" t="s">
        <v>128</v>
      </c>
      <c r="B7" s="12" t="s">
        <v>129</v>
      </c>
      <c r="C7" s="23" t="n">
        <f aca="false">Assumptions!C$24</f>
        <v>0</v>
      </c>
      <c r="D7" s="23" t="n">
        <f aca="false">Assumptions!D$24</f>
        <v>2</v>
      </c>
      <c r="E7" s="23" t="n">
        <f aca="false">Assumptions!E$24</f>
        <v>3.5</v>
      </c>
      <c r="F7" s="23" t="n">
        <f aca="false">Assumptions!F$24</f>
        <v>5</v>
      </c>
      <c r="G7" s="23" t="n">
        <f aca="false">Assumptions!G$24</f>
        <v>5.5</v>
      </c>
      <c r="H7" s="23" t="n">
        <f aca="false">Assumptions!H$24</f>
        <v>5.5</v>
      </c>
      <c r="I7" s="23" t="n">
        <f aca="false">Assumptions!I$24</f>
        <v>5</v>
      </c>
      <c r="J7" s="23" t="n">
        <f aca="false">Assumptions!J$24</f>
        <v>4.5</v>
      </c>
      <c r="K7" s="23" t="n">
        <f aca="false">Assumptions!K$24</f>
        <v>3.5</v>
      </c>
      <c r="L7" s="23" t="n">
        <f aca="false">Assumptions!L$24</f>
        <v>2</v>
      </c>
    </row>
    <row r="8" customFormat="false" ht="15" hidden="false" customHeight="false" outlineLevel="0" collapsed="false">
      <c r="A8" s="7" t="s">
        <v>130</v>
      </c>
      <c r="B8" s="12" t="s">
        <v>129</v>
      </c>
      <c r="C8" s="23" t="n">
        <f aca="false">Assumptions!C$25</f>
        <v>0</v>
      </c>
      <c r="D8" s="23" t="n">
        <f aca="false">Assumptions!D$25</f>
        <v>1</v>
      </c>
      <c r="E8" s="23" t="n">
        <f aca="false">Assumptions!E$25</f>
        <v>1.8</v>
      </c>
      <c r="F8" s="23" t="n">
        <f aca="false">Assumptions!F$25</f>
        <v>2.5</v>
      </c>
      <c r="G8" s="23" t="n">
        <f aca="false">Assumptions!G$25</f>
        <v>2.5</v>
      </c>
      <c r="H8" s="23" t="n">
        <f aca="false">Assumptions!H$25</f>
        <v>2</v>
      </c>
      <c r="I8" s="23" t="n">
        <f aca="false">Assumptions!I$25</f>
        <v>1.5</v>
      </c>
      <c r="J8" s="23" t="n">
        <f aca="false">Assumptions!J$25</f>
        <v>1.2</v>
      </c>
      <c r="K8" s="23" t="n">
        <f aca="false">Assumptions!K$25</f>
        <v>1</v>
      </c>
      <c r="L8" s="23" t="n">
        <f aca="false">Assumptions!L$25</f>
        <v>1</v>
      </c>
    </row>
    <row r="9" customFormat="false" ht="15" hidden="false" customHeight="false" outlineLevel="0" collapsed="false">
      <c r="A9" s="19" t="s">
        <v>131</v>
      </c>
      <c r="B9" s="24" t="s">
        <v>132</v>
      </c>
      <c r="C9" s="25" t="n">
        <f aca="false">SUM(C5:C8)</f>
        <v>68</v>
      </c>
      <c r="D9" s="25" t="n">
        <f aca="false">SUM(D5:D8)</f>
        <v>73.055</v>
      </c>
      <c r="E9" s="25" t="n">
        <f aca="false">SUM(E5:E8)</f>
        <v>76.8777</v>
      </c>
      <c r="F9" s="25" t="n">
        <f aca="false">SUM(F5:F8)</f>
        <v>80.0742965</v>
      </c>
      <c r="G9" s="25" t="n">
        <f aca="false">SUM(G5:G8)</f>
        <v>82.3912648425</v>
      </c>
      <c r="H9" s="25" t="n">
        <f aca="false">SUM(H5:H8)</f>
        <v>85.5403717604125</v>
      </c>
      <c r="I9" s="25" t="n">
        <f aca="false">SUM(I5:I8)</f>
        <v>88.353688489631</v>
      </c>
      <c r="J9" s="25" t="n">
        <f aca="false">SUM(J5:J8)</f>
        <v>91.5386044716644</v>
      </c>
      <c r="K9" s="25" t="n">
        <f aca="false">SUM(K5:K8)</f>
        <v>94.5028416728893</v>
      </c>
      <c r="L9" s="25" t="n">
        <f aca="false">SUM(L5:L8)</f>
        <v>97.3544695481693</v>
      </c>
    </row>
    <row r="10" customFormat="false" ht="15" hidden="false" customHeight="false" outlineLevel="0" collapsed="false">
      <c r="A10" s="6" t="s">
        <v>133</v>
      </c>
      <c r="B10" s="12" t="s">
        <v>134</v>
      </c>
      <c r="C10" s="26"/>
      <c r="D10" s="26" t="n">
        <f aca="false">IF(C9=0,0,D9/C9-1)</f>
        <v>0.0743382352941178</v>
      </c>
      <c r="E10" s="26" t="n">
        <f aca="false">IF(D9=0,0,E9/D9-1)</f>
        <v>0.0523263294777905</v>
      </c>
      <c r="F10" s="26" t="n">
        <f aca="false">IF(E9=0,0,F9/E9-1)</f>
        <v>0.0415802827087697</v>
      </c>
      <c r="G10" s="26" t="n">
        <f aca="false">IF(F9=0,0,G9/F9-1)</f>
        <v>0.0289352319504925</v>
      </c>
      <c r="H10" s="26" t="n">
        <f aca="false">IF(G9=0,0,H9/G9-1)</f>
        <v>0.0382213687814159</v>
      </c>
      <c r="I10" s="26" t="n">
        <f aca="false">IF(H9=0,0,I9/H9-1)</f>
        <v>0.0328887596735994</v>
      </c>
      <c r="J10" s="26" t="n">
        <f aca="false">IF(I9=0,0,J9/I9-1)</f>
        <v>0.0360473460302357</v>
      </c>
      <c r="K10" s="26" t="n">
        <f aca="false">IF(J9=0,0,K9/J9-1)</f>
        <v>0.0323823726430357</v>
      </c>
      <c r="L10" s="26" t="n">
        <f aca="false">IF(K9=0,0,L9/K9-1)</f>
        <v>0.0301750489699619</v>
      </c>
    </row>
    <row r="12" customFormat="false" ht="15" hidden="false" customHeight="false" outlineLevel="0" collapsed="false">
      <c r="A12" s="3" t="s">
        <v>135</v>
      </c>
    </row>
    <row r="13" customFormat="false" ht="30" hidden="false" customHeight="true" outlineLevel="0" collapsed="false">
      <c r="A13" s="5" t="s">
        <v>136</v>
      </c>
      <c r="B13" s="5" t="s">
        <v>74</v>
      </c>
      <c r="C13" s="5"/>
      <c r="D13" s="5" t="s">
        <v>137</v>
      </c>
    </row>
    <row r="14" customFormat="false" ht="64.15" hidden="false" customHeight="false" outlineLevel="0" collapsed="false">
      <c r="A14" s="7" t="s">
        <v>138</v>
      </c>
      <c r="B14" s="27" t="n">
        <f aca="false">SUM(D9:L9)</f>
        <v>769.688237285266</v>
      </c>
      <c r="C14" s="6"/>
      <c r="D14" s="12" t="s">
        <v>139</v>
      </c>
    </row>
    <row r="15" customFormat="false" ht="32.8" hidden="false" customHeight="false" outlineLevel="0" collapsed="false">
      <c r="A15" s="7" t="s">
        <v>140</v>
      </c>
      <c r="B15" s="16" t="n">
        <f aca="false">(L9/C9)^(1/9)-1</f>
        <v>0.0406778986328729</v>
      </c>
      <c r="C15" s="6"/>
      <c r="D15" s="12" t="s">
        <v>141</v>
      </c>
    </row>
    <row r="16" customFormat="false" ht="32.8" hidden="false" customHeight="false" outlineLevel="0" collapsed="false">
      <c r="A16" s="7" t="s">
        <v>142</v>
      </c>
      <c r="B16" s="7" t="str">
        <f aca="false">INDEX($C$4:$L$4,MATCH(MIN(D10:L10),D10:L10,0)+1)</f>
        <v>2030</v>
      </c>
      <c r="C16" s="6"/>
      <c r="D16" s="12" t="s">
        <v>143</v>
      </c>
    </row>
    <row r="17" customFormat="false" ht="32.8" hidden="false" customHeight="false" outlineLevel="0" collapsed="false">
      <c r="A17" s="7" t="s">
        <v>144</v>
      </c>
      <c r="B17" s="16" t="n">
        <f aca="false">MIN(D10:L10)</f>
        <v>0.0289352319504925</v>
      </c>
      <c r="C17" s="6"/>
      <c r="D17" s="12" t="s">
        <v>145</v>
      </c>
    </row>
    <row r="19" customFormat="false" ht="53.7" hidden="false" customHeight="false" outlineLevel="0" collapsed="false">
      <c r="A19" s="4" t="s">
        <v>146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3"/>
    <col collapsed="false" customWidth="true" hidden="false" outlineLevel="0" max="12" min="3" style="0" width="11"/>
  </cols>
  <sheetData>
    <row r="1" customFormat="false" ht="21.75" hidden="false" customHeight="true" outlineLevel="0" collapsed="false">
      <c r="A1" s="1" t="s">
        <v>16</v>
      </c>
    </row>
    <row r="2" customFormat="false" ht="15" hidden="false" customHeight="false" outlineLevel="0" collapsed="false">
      <c r="A2" s="2" t="s">
        <v>147</v>
      </c>
    </row>
    <row r="4" customFormat="false" ht="30" hidden="false" customHeight="true" outlineLevel="0" collapsed="false">
      <c r="A4" s="5" t="s">
        <v>94</v>
      </c>
      <c r="B4" s="5" t="s">
        <v>148</v>
      </c>
      <c r="C4" s="5" t="s">
        <v>104</v>
      </c>
      <c r="D4" s="5" t="s">
        <v>105</v>
      </c>
      <c r="E4" s="5" t="s">
        <v>106</v>
      </c>
      <c r="F4" s="5" t="s">
        <v>107</v>
      </c>
      <c r="G4" s="5" t="s">
        <v>108</v>
      </c>
      <c r="H4" s="5" t="s">
        <v>109</v>
      </c>
      <c r="I4" s="5" t="s">
        <v>110</v>
      </c>
      <c r="J4" s="5" t="s">
        <v>111</v>
      </c>
      <c r="K4" s="5" t="s">
        <v>112</v>
      </c>
      <c r="L4" s="5" t="s">
        <v>113</v>
      </c>
    </row>
    <row r="5" customFormat="false" ht="15" hidden="false" customHeight="false" outlineLevel="0" collapsed="false">
      <c r="A5" s="7" t="s">
        <v>98</v>
      </c>
      <c r="B5" s="12" t="s">
        <v>149</v>
      </c>
      <c r="C5" s="23" t="n">
        <f aca="false">Assumptions!$B$6*(1+Assumptions!$B$15)^0-Assumptions!$C$15*Assumptions!C$23+Assumptions!$D$15*(Assumptions!C$24+Assumptions!C$25)</f>
        <v>68</v>
      </c>
      <c r="D5" s="23" t="n">
        <f aca="false">Assumptions!$B$6*(1+Assumptions!$B$15)^1-Assumptions!$C$15*Assumptions!D$23+Assumptions!$D$15*(Assumptions!D$24+Assumptions!D$25)</f>
        <v>70.19</v>
      </c>
      <c r="E5" s="23" t="n">
        <f aca="false">Assumptions!$B$6*(1+Assumptions!$B$15)^2-Assumptions!$C$15*Assumptions!E$23+Assumptions!$D$15*(Assumptions!E$24+Assumptions!E$25)</f>
        <v>71.1912</v>
      </c>
      <c r="F5" s="23" t="n">
        <f aca="false">Assumptions!$B$6*(1+Assumptions!$B$15)^3-Assumptions!$C$15*Assumptions!F$23+Assumptions!$D$15*(Assumptions!F$24+Assumptions!F$25)</f>
        <v>71.305436</v>
      </c>
      <c r="G5" s="23" t="n">
        <f aca="false">Assumptions!$B$6*(1+Assumptions!$B$15)^4-Assumptions!$C$15*Assumptions!G$23+Assumptions!$D$15*(Assumptions!G$24+Assumptions!G$25)</f>
        <v>71.53459908</v>
      </c>
      <c r="H5" s="23" t="n">
        <f aca="false">Assumptions!$B$6*(1+Assumptions!$B$15)^5-Assumptions!$C$15*Assumptions!H$23+Assumptions!$D$15*(Assumptions!H$24+Assumptions!H$25)</f>
        <v>73.5806370524</v>
      </c>
      <c r="I5" s="23" t="n">
        <f aca="false">Assumptions!$B$6*(1+Assumptions!$B$15)^6-Assumptions!$C$15*Assumptions!I$23+Assumptions!$D$15*(Assumptions!I$24+Assumptions!I$25)</f>
        <v>75.445556163972</v>
      </c>
      <c r="J5" s="23" t="n">
        <f aca="false">Assumptions!$B$6*(1+Assumptions!$B$15)^7-Assumptions!$C$15*Assumptions!J$23+Assumptions!$D$15*(Assumptions!J$24+Assumptions!J$25)</f>
        <v>77.4814228488912</v>
      </c>
      <c r="K5" s="23" t="n">
        <f aca="false">Assumptions!$B$6*(1+Assumptions!$B$15)^8-Assumptions!$C$15*Assumptions!K$23+Assumptions!$D$15*(Assumptions!K$24+Assumptions!K$25)</f>
        <v>79.3903655343579</v>
      </c>
      <c r="L5" s="23" t="n">
        <f aca="false">Assumptions!$B$6*(1+Assumptions!$B$15)^9-Assumptions!$C$15*Assumptions!L$23+Assumptions!$D$15*(Assumptions!L$24+Assumptions!L$25)</f>
        <v>81.2245765003887</v>
      </c>
    </row>
    <row r="6" customFormat="false" ht="15" hidden="false" customHeight="false" outlineLevel="0" collapsed="false">
      <c r="A6" s="19" t="s">
        <v>99</v>
      </c>
      <c r="B6" s="24" t="s">
        <v>149</v>
      </c>
      <c r="C6" s="28" t="n">
        <f aca="false">Assumptions!$B$6*(1+Assumptions!$B$16)^0-Assumptions!$C$16*Assumptions!C$23+Assumptions!$D$16*(Assumptions!C$24+Assumptions!C$25)</f>
        <v>68</v>
      </c>
      <c r="D6" s="28" t="n">
        <f aca="false">Assumptions!$B$6*(1+Assumptions!$B$16)^1-Assumptions!$C$16*Assumptions!D$23+Assumptions!$D$16*(Assumptions!D$24+Assumptions!D$25)</f>
        <v>73.055</v>
      </c>
      <c r="E6" s="28" t="n">
        <f aca="false">Assumptions!$B$6*(1+Assumptions!$B$16)^2-Assumptions!$C$16*Assumptions!E$23+Assumptions!$D$16*(Assumptions!E$24+Assumptions!E$25)</f>
        <v>76.8777</v>
      </c>
      <c r="F6" s="28" t="n">
        <f aca="false">Assumptions!$B$6*(1+Assumptions!$B$16)^3-Assumptions!$C$16*Assumptions!F$23+Assumptions!$D$16*(Assumptions!F$24+Assumptions!F$25)</f>
        <v>80.0742965</v>
      </c>
      <c r="G6" s="28" t="n">
        <f aca="false">Assumptions!$B$6*(1+Assumptions!$B$16)^4-Assumptions!$C$16*Assumptions!G$23+Assumptions!$D$16*(Assumptions!G$24+Assumptions!G$25)</f>
        <v>82.3912648425</v>
      </c>
      <c r="H6" s="28" t="n">
        <f aca="false">Assumptions!$B$6*(1+Assumptions!$B$16)^5-Assumptions!$C$16*Assumptions!H$23+Assumptions!$D$16*(Assumptions!H$24+Assumptions!H$25)</f>
        <v>85.5403717604125</v>
      </c>
      <c r="I6" s="28" t="n">
        <f aca="false">Assumptions!$B$6*(1+Assumptions!$B$16)^6-Assumptions!$C$16*Assumptions!I$23+Assumptions!$D$16*(Assumptions!I$24+Assumptions!I$25)</f>
        <v>88.353688489631</v>
      </c>
      <c r="J6" s="28" t="n">
        <f aca="false">Assumptions!$B$6*(1+Assumptions!$B$16)^7-Assumptions!$C$16*Assumptions!J$23+Assumptions!$D$16*(Assumptions!J$24+Assumptions!J$25)</f>
        <v>91.5386044716644</v>
      </c>
      <c r="K6" s="28" t="n">
        <f aca="false">Assumptions!$B$6*(1+Assumptions!$B$16)^8-Assumptions!$C$16*Assumptions!K$23+Assumptions!$D$16*(Assumptions!K$24+Assumptions!K$25)</f>
        <v>94.5028416728893</v>
      </c>
      <c r="L6" s="28" t="n">
        <f aca="false">Assumptions!$B$6*(1+Assumptions!$B$16)^9-Assumptions!$C$16*Assumptions!L$23+Assumptions!$D$16*(Assumptions!L$24+Assumptions!L$25)</f>
        <v>97.3544695481693</v>
      </c>
    </row>
    <row r="7" customFormat="false" ht="15" hidden="false" customHeight="false" outlineLevel="0" collapsed="false">
      <c r="A7" s="7" t="s">
        <v>100</v>
      </c>
      <c r="B7" s="12" t="s">
        <v>149</v>
      </c>
      <c r="C7" s="23" t="n">
        <f aca="false">Assumptions!$B$6*(1+Assumptions!$B$17)^0-Assumptions!$C$17*Assumptions!C$23+Assumptions!$D$17*(Assumptions!C$24+Assumptions!C$25)</f>
        <v>68</v>
      </c>
      <c r="D7" s="23" t="n">
        <f aca="false">Assumptions!$B$6*(1+Assumptions!$B$17)^1-Assumptions!$C$17*Assumptions!D$23+Assumptions!$D$17*(Assumptions!D$24+Assumptions!D$25)</f>
        <v>74.44</v>
      </c>
      <c r="E7" s="23" t="n">
        <f aca="false">Assumptions!$B$6*(1+Assumptions!$B$17)^2-Assumptions!$C$17*Assumptions!E$23+Assumptions!$D$17*(Assumptions!E$24+Assumptions!E$25)</f>
        <v>79.9157</v>
      </c>
      <c r="F7" s="23" t="n">
        <f aca="false">Assumptions!$B$6*(1+Assumptions!$B$17)^3-Assumptions!$C$17*Assumptions!F$23+Assumptions!$D$17*(Assumptions!F$24+Assumptions!F$25)</f>
        <v>85.0984135</v>
      </c>
      <c r="G7" s="23" t="n">
        <f aca="false">Assumptions!$B$6*(1+Assumptions!$B$17)^4-Assumptions!$C$17*Assumptions!G$23+Assumptions!$D$17*(Assumptions!G$24+Assumptions!G$25)</f>
        <v>89.0400762425</v>
      </c>
      <c r="H7" s="23" t="n">
        <f aca="false">Assumptions!$B$6*(1+Assumptions!$B$17)^5-Assumptions!$C$17*Assumptions!H$23+Assumptions!$D$17*(Assumptions!H$24+Assumptions!H$25)</f>
        <v>93.1232804358375</v>
      </c>
      <c r="I7" s="23" t="n">
        <f aca="false">Assumptions!$B$6*(1+Assumptions!$B$17)^6-Assumptions!$C$17*Assumptions!I$23+Assumptions!$D$17*(Assumptions!I$24+Assumptions!I$25)</f>
        <v>96.9113108598085</v>
      </c>
      <c r="J7" s="23" t="n">
        <f aca="false">Assumptions!$B$6*(1+Assumptions!$B$17)^7-Assumptions!$C$17*Assumptions!J$23+Assumptions!$D$17*(Assumptions!J$24+Assumptions!J$25)</f>
        <v>101.188182957098</v>
      </c>
      <c r="K7" s="23" t="n">
        <f aca="false">Assumptions!$B$6*(1+Assumptions!$B$17)^8-Assumptions!$C$17*Assumptions!K$23+Assumptions!$D$17*(Assumptions!K$24+Assumptions!K$25)</f>
        <v>105.308683019738</v>
      </c>
      <c r="L7" s="23" t="n">
        <f aca="false">Assumptions!$B$6*(1+Assumptions!$B$17)^9-Assumptions!$C$17*Assumptions!L$23+Assumptions!$D$17*(Assumptions!L$24+Assumptions!L$25)</f>
        <v>109.398410585824</v>
      </c>
    </row>
    <row r="9" customFormat="false" ht="30" hidden="false" customHeight="true" outlineLevel="0" collapsed="false">
      <c r="A9" s="5" t="s">
        <v>150</v>
      </c>
      <c r="B9" s="5" t="s">
        <v>76</v>
      </c>
      <c r="C9" s="5" t="s">
        <v>104</v>
      </c>
      <c r="D9" s="5" t="s">
        <v>105</v>
      </c>
      <c r="E9" s="5" t="s">
        <v>106</v>
      </c>
      <c r="F9" s="5" t="s">
        <v>107</v>
      </c>
      <c r="G9" s="5" t="s">
        <v>108</v>
      </c>
      <c r="H9" s="5" t="s">
        <v>109</v>
      </c>
      <c r="I9" s="5" t="s">
        <v>110</v>
      </c>
      <c r="J9" s="5" t="s">
        <v>111</v>
      </c>
      <c r="K9" s="5" t="s">
        <v>112</v>
      </c>
      <c r="L9" s="5" t="s">
        <v>113</v>
      </c>
    </row>
    <row r="10" customFormat="false" ht="15" hidden="false" customHeight="false" outlineLevel="0" collapsed="false">
      <c r="A10" s="7" t="s">
        <v>151</v>
      </c>
      <c r="B10" s="12" t="s">
        <v>152</v>
      </c>
      <c r="C10" s="29" t="n">
        <f aca="false">C7-C5</f>
        <v>0</v>
      </c>
      <c r="D10" s="29" t="n">
        <f aca="false">D7-D5</f>
        <v>4.24999999999999</v>
      </c>
      <c r="E10" s="29" t="n">
        <f aca="false">E7-E5</f>
        <v>8.72449999999999</v>
      </c>
      <c r="F10" s="29" t="n">
        <f aca="false">F7-F5</f>
        <v>13.7929775</v>
      </c>
      <c r="G10" s="29" t="n">
        <f aca="false">G7-G5</f>
        <v>17.5054771625</v>
      </c>
      <c r="H10" s="29" t="n">
        <f aca="false">H7-H5</f>
        <v>19.5426433834375</v>
      </c>
      <c r="I10" s="29" t="n">
        <f aca="false">I7-I5</f>
        <v>21.4657546958365</v>
      </c>
      <c r="J10" s="29" t="n">
        <f aca="false">J7-J5</f>
        <v>23.7067601082068</v>
      </c>
      <c r="K10" s="29" t="n">
        <f aca="false">K7-K5</f>
        <v>25.9183174853805</v>
      </c>
      <c r="L10" s="29" t="n">
        <f aca="false">L7-L5</f>
        <v>28.1738340854353</v>
      </c>
    </row>
    <row r="11" customFormat="false" ht="15" hidden="false" customHeight="false" outlineLevel="0" collapsed="false">
      <c r="A11" s="6" t="s">
        <v>153</v>
      </c>
      <c r="B11" s="12" t="s">
        <v>152</v>
      </c>
      <c r="C11" s="26" t="n">
        <f aca="false">C10/C5</f>
        <v>0</v>
      </c>
      <c r="D11" s="26" t="n">
        <f aca="false">D10/D5</f>
        <v>0.060549935888303</v>
      </c>
      <c r="E11" s="26" t="n">
        <f aca="false">E10/E5</f>
        <v>0.122550259020778</v>
      </c>
      <c r="F11" s="26" t="n">
        <f aca="false">F10/F5</f>
        <v>0.193435147076304</v>
      </c>
      <c r="G11" s="26" t="n">
        <f aca="false">G10/G5</f>
        <v>0.244713430810214</v>
      </c>
      <c r="H11" s="26" t="n">
        <f aca="false">H10/H5</f>
        <v>0.265594919618871</v>
      </c>
      <c r="I11" s="26" t="n">
        <f aca="false">I10/I5</f>
        <v>0.284519801924228</v>
      </c>
      <c r="J11" s="26" t="n">
        <f aca="false">J10/J5</f>
        <v>0.305967020693994</v>
      </c>
      <c r="K11" s="26" t="n">
        <f aca="false">K10/K5</f>
        <v>0.32646678612613</v>
      </c>
      <c r="L11" s="26" t="n">
        <f aca="false">L10/L5</f>
        <v>0.346863416213694</v>
      </c>
    </row>
    <row r="13" customFormat="false" ht="15" hidden="false" customHeight="false" outlineLevel="0" collapsed="false">
      <c r="A13" s="3" t="s">
        <v>154</v>
      </c>
    </row>
    <row r="14" customFormat="false" ht="30" hidden="false" customHeight="true" outlineLevel="0" collapsed="false">
      <c r="A14" s="5" t="s">
        <v>94</v>
      </c>
      <c r="B14" s="5" t="s">
        <v>155</v>
      </c>
      <c r="C14" s="5" t="s">
        <v>156</v>
      </c>
      <c r="D14" s="5" t="s">
        <v>157</v>
      </c>
    </row>
    <row r="15" customFormat="false" ht="15" hidden="false" customHeight="false" outlineLevel="0" collapsed="false">
      <c r="A15" s="7" t="s">
        <v>98</v>
      </c>
      <c r="B15" s="15" t="n">
        <f aca="false">G5</f>
        <v>71.53459908</v>
      </c>
      <c r="C15" s="15" t="n">
        <f aca="false">L5</f>
        <v>81.2245765003887</v>
      </c>
      <c r="D15" s="16" t="n">
        <f aca="false">(L5/C5)^(1/9)-1</f>
        <v>0.0199418068965829</v>
      </c>
    </row>
    <row r="16" customFormat="false" ht="15" hidden="false" customHeight="false" outlineLevel="0" collapsed="false">
      <c r="A16" s="19" t="s">
        <v>99</v>
      </c>
      <c r="B16" s="25" t="n">
        <f aca="false">G6</f>
        <v>82.3912648425</v>
      </c>
      <c r="C16" s="25" t="n">
        <f aca="false">L6</f>
        <v>97.3544695481693</v>
      </c>
      <c r="D16" s="30" t="n">
        <f aca="false">(L6/C6)^(1/9)-1</f>
        <v>0.0406778986328729</v>
      </c>
    </row>
    <row r="17" customFormat="false" ht="15" hidden="false" customHeight="false" outlineLevel="0" collapsed="false">
      <c r="A17" s="7" t="s">
        <v>100</v>
      </c>
      <c r="B17" s="15" t="n">
        <f aca="false">G7</f>
        <v>89.0400762425</v>
      </c>
      <c r="C17" s="15" t="n">
        <f aca="false">L7</f>
        <v>109.398410585824</v>
      </c>
      <c r="D17" s="16" t="n">
        <f aca="false">(L7/C7)^(1/9)-1</f>
        <v>0.0542525926896966</v>
      </c>
    </row>
    <row r="19" customFormat="false" ht="43.25" hidden="false" customHeight="false" outlineLevel="0" collapsed="false">
      <c r="A19" s="4" t="s">
        <v>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E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4"/>
    <col collapsed="false" customWidth="true" hidden="false" outlineLevel="0" max="5" min="5" style="0" width="58"/>
  </cols>
  <sheetData>
    <row r="1" customFormat="false" ht="21.75" hidden="false" customHeight="true" outlineLevel="0" collapsed="false">
      <c r="A1" s="1" t="s">
        <v>18</v>
      </c>
    </row>
    <row r="2" customFormat="false" ht="15" hidden="false" customHeight="false" outlineLevel="0" collapsed="false">
      <c r="A2" s="2" t="s">
        <v>159</v>
      </c>
    </row>
    <row r="4" customFormat="false" ht="15" hidden="false" customHeight="false" outlineLevel="0" collapsed="false">
      <c r="A4" s="3" t="s">
        <v>160</v>
      </c>
    </row>
    <row r="5" customFormat="false" ht="30" hidden="false" customHeight="true" outlineLevel="0" collapsed="false">
      <c r="A5" s="5" t="s">
        <v>136</v>
      </c>
      <c r="B5" s="5" t="s">
        <v>74</v>
      </c>
      <c r="C5" s="5" t="s">
        <v>75</v>
      </c>
      <c r="D5" s="5" t="s">
        <v>161</v>
      </c>
      <c r="E5" s="5" t="s">
        <v>162</v>
      </c>
    </row>
    <row r="6" customFormat="false" ht="15" hidden="false" customHeight="false" outlineLevel="0" collapsed="false">
      <c r="A6" s="7" t="s">
        <v>163</v>
      </c>
      <c r="B6" s="31" t="n">
        <v>626</v>
      </c>
      <c r="C6" s="6" t="s">
        <v>78</v>
      </c>
      <c r="D6" s="26"/>
      <c r="E6" s="12" t="s">
        <v>164</v>
      </c>
    </row>
    <row r="7" customFormat="false" ht="15" hidden="false" customHeight="false" outlineLevel="0" collapsed="false">
      <c r="A7" s="6" t="s">
        <v>165</v>
      </c>
      <c r="B7" s="17" t="n">
        <v>0.023</v>
      </c>
      <c r="C7" s="6" t="s">
        <v>91</v>
      </c>
      <c r="D7" s="6"/>
      <c r="E7" s="12" t="s">
        <v>166</v>
      </c>
    </row>
    <row r="8" customFormat="false" ht="15" hidden="false" customHeight="false" outlineLevel="0" collapsed="false">
      <c r="A8" s="7" t="s">
        <v>167</v>
      </c>
      <c r="B8" s="31" t="n">
        <v>175</v>
      </c>
      <c r="C8" s="6" t="s">
        <v>78</v>
      </c>
      <c r="D8" s="26" t="n">
        <f aca="false">B8/B6</f>
        <v>0.279552715654952</v>
      </c>
      <c r="E8" s="12" t="s">
        <v>168</v>
      </c>
    </row>
    <row r="9" customFormat="false" ht="15" hidden="false" customHeight="false" outlineLevel="0" collapsed="false">
      <c r="A9" s="7" t="s">
        <v>169</v>
      </c>
      <c r="B9" s="32" t="n">
        <v>59</v>
      </c>
      <c r="C9" s="6" t="s">
        <v>78</v>
      </c>
      <c r="D9" s="26" t="n">
        <f aca="false">B9/B8</f>
        <v>0.337142857142857</v>
      </c>
      <c r="E9" s="12" t="s">
        <v>170</v>
      </c>
    </row>
    <row r="10" customFormat="false" ht="15" hidden="false" customHeight="false" outlineLevel="0" collapsed="false">
      <c r="A10" s="6" t="s">
        <v>171</v>
      </c>
      <c r="B10" s="31" t="n">
        <v>114</v>
      </c>
      <c r="C10" s="6" t="s">
        <v>78</v>
      </c>
      <c r="D10" s="26" t="n">
        <f aca="false">B10/B8</f>
        <v>0.651428571428572</v>
      </c>
      <c r="E10" s="12" t="s">
        <v>172</v>
      </c>
    </row>
    <row r="11" customFormat="false" ht="15" hidden="false" customHeight="false" outlineLevel="0" collapsed="false">
      <c r="A11" s="7" t="s">
        <v>173</v>
      </c>
      <c r="B11" s="17" t="n">
        <v>0.92</v>
      </c>
      <c r="C11" s="6" t="s">
        <v>91</v>
      </c>
      <c r="D11" s="6"/>
      <c r="E11" s="12" t="s">
        <v>174</v>
      </c>
    </row>
    <row r="12" customFormat="false" ht="15" hidden="false" customHeight="false" outlineLevel="0" collapsed="false">
      <c r="A12" s="7" t="s">
        <v>175</v>
      </c>
      <c r="B12" s="17" t="n">
        <v>0.08</v>
      </c>
      <c r="C12" s="6" t="s">
        <v>91</v>
      </c>
      <c r="D12" s="6"/>
      <c r="E12" s="12" t="s">
        <v>166</v>
      </c>
    </row>
    <row r="13" customFormat="false" ht="15" hidden="false" customHeight="false" outlineLevel="0" collapsed="false">
      <c r="A13" s="6" t="s">
        <v>176</v>
      </c>
      <c r="B13" s="17" t="n">
        <v>0.567</v>
      </c>
      <c r="C13" s="6" t="s">
        <v>91</v>
      </c>
      <c r="D13" s="6"/>
      <c r="E13" s="12" t="s">
        <v>177</v>
      </c>
    </row>
    <row r="14" customFormat="false" ht="15" hidden="false" customHeight="false" outlineLevel="0" collapsed="false">
      <c r="A14" s="6" t="s">
        <v>178</v>
      </c>
      <c r="B14" s="17" t="n">
        <v>0.79</v>
      </c>
      <c r="C14" s="6" t="s">
        <v>91</v>
      </c>
      <c r="D14" s="6"/>
      <c r="E14" s="12" t="s">
        <v>179</v>
      </c>
    </row>
    <row r="16" customFormat="false" ht="15" hidden="false" customHeight="false" outlineLevel="0" collapsed="false">
      <c r="A16" s="3" t="s">
        <v>180</v>
      </c>
    </row>
    <row r="17" customFormat="false" ht="30" hidden="false" customHeight="true" outlineLevel="0" collapsed="false">
      <c r="A17" s="5" t="s">
        <v>181</v>
      </c>
      <c r="B17" s="5" t="s">
        <v>74</v>
      </c>
      <c r="C17" s="5" t="s">
        <v>75</v>
      </c>
      <c r="D17" s="5" t="s">
        <v>76</v>
      </c>
      <c r="E17" s="5" t="s">
        <v>182</v>
      </c>
    </row>
    <row r="18" customFormat="false" ht="15" hidden="false" customHeight="false" outlineLevel="0" collapsed="false">
      <c r="A18" s="7" t="s">
        <v>183</v>
      </c>
      <c r="B18" s="14" t="n">
        <v>36.5</v>
      </c>
      <c r="C18" s="6" t="s">
        <v>78</v>
      </c>
      <c r="D18" s="12" t="s">
        <v>184</v>
      </c>
      <c r="E18" s="12" t="s">
        <v>185</v>
      </c>
    </row>
    <row r="19" customFormat="false" ht="15" hidden="false" customHeight="false" outlineLevel="0" collapsed="false">
      <c r="A19" s="6" t="s">
        <v>186</v>
      </c>
      <c r="B19" s="14" t="n">
        <v>34.8</v>
      </c>
      <c r="C19" s="6" t="s">
        <v>78</v>
      </c>
      <c r="D19" s="12" t="s">
        <v>184</v>
      </c>
      <c r="E19" s="12" t="s">
        <v>187</v>
      </c>
    </row>
    <row r="20" customFormat="false" ht="22.35" hidden="false" customHeight="false" outlineLevel="0" collapsed="false">
      <c r="A20" s="7" t="s">
        <v>188</v>
      </c>
      <c r="B20" s="14" t="n">
        <v>54.3</v>
      </c>
      <c r="C20" s="6" t="s">
        <v>78</v>
      </c>
      <c r="D20" s="12" t="s">
        <v>184</v>
      </c>
      <c r="E20" s="12" t="s">
        <v>189</v>
      </c>
    </row>
    <row r="21" customFormat="false" ht="15" hidden="false" customHeight="false" outlineLevel="0" collapsed="false">
      <c r="A21" s="6" t="s">
        <v>190</v>
      </c>
      <c r="B21" s="14" t="n">
        <v>53</v>
      </c>
      <c r="C21" s="6" t="s">
        <v>78</v>
      </c>
      <c r="D21" s="12" t="s">
        <v>184</v>
      </c>
      <c r="E21" s="12" t="s">
        <v>191</v>
      </c>
    </row>
    <row r="22" customFormat="false" ht="22.35" hidden="false" customHeight="false" outlineLevel="0" collapsed="false">
      <c r="A22" s="7" t="s">
        <v>192</v>
      </c>
      <c r="B22" s="15" t="n">
        <f aca="false">B18+B20</f>
        <v>90.8</v>
      </c>
      <c r="C22" s="6" t="s">
        <v>78</v>
      </c>
      <c r="D22" s="12" t="s">
        <v>193</v>
      </c>
      <c r="E22" s="12" t="s">
        <v>194</v>
      </c>
    </row>
    <row r="24" customFormat="false" ht="15" hidden="false" customHeight="false" outlineLevel="0" collapsed="false">
      <c r="A24" s="3" t="s">
        <v>195</v>
      </c>
    </row>
    <row r="25" customFormat="false" ht="30" hidden="false" customHeight="true" outlineLevel="0" collapsed="false">
      <c r="A25" s="5" t="s">
        <v>136</v>
      </c>
      <c r="B25" s="5" t="s">
        <v>74</v>
      </c>
      <c r="C25" s="5" t="s">
        <v>75</v>
      </c>
      <c r="D25" s="5" t="s">
        <v>196</v>
      </c>
      <c r="E25" s="5" t="s">
        <v>162</v>
      </c>
    </row>
    <row r="26" customFormat="false" ht="15" hidden="false" customHeight="false" outlineLevel="0" collapsed="false">
      <c r="A26" s="7" t="s">
        <v>197</v>
      </c>
      <c r="B26" s="31" t="n">
        <v>350</v>
      </c>
      <c r="C26" s="6" t="s">
        <v>78</v>
      </c>
      <c r="D26" s="12" t="s">
        <v>198</v>
      </c>
      <c r="E26" s="12" t="s">
        <v>199</v>
      </c>
    </row>
    <row r="27" customFormat="false" ht="15" hidden="false" customHeight="false" outlineLevel="0" collapsed="false">
      <c r="A27" s="6" t="s">
        <v>200</v>
      </c>
      <c r="B27" s="29" t="n">
        <f aca="false">B26/13</f>
        <v>26.9230769230769</v>
      </c>
      <c r="C27" s="6" t="s">
        <v>78</v>
      </c>
      <c r="D27" s="12" t="s">
        <v>193</v>
      </c>
      <c r="E27" s="12" t="s">
        <v>201</v>
      </c>
    </row>
    <row r="28" customFormat="false" ht="15" hidden="false" customHeight="false" outlineLevel="0" collapsed="false">
      <c r="A28" s="7" t="s">
        <v>202</v>
      </c>
      <c r="B28" s="31" t="n">
        <v>226</v>
      </c>
      <c r="C28" s="6" t="s">
        <v>78</v>
      </c>
      <c r="D28" s="12" t="s">
        <v>198</v>
      </c>
      <c r="E28" s="12" t="s">
        <v>203</v>
      </c>
    </row>
    <row r="29" customFormat="false" ht="15" hidden="false" customHeight="false" outlineLevel="0" collapsed="false">
      <c r="A29" s="6" t="s">
        <v>200</v>
      </c>
      <c r="B29" s="29" t="n">
        <f aca="false">B28/13</f>
        <v>17.3846153846154</v>
      </c>
      <c r="C29" s="6" t="s">
        <v>78</v>
      </c>
      <c r="D29" s="12" t="s">
        <v>193</v>
      </c>
      <c r="E29" s="12" t="s">
        <v>201</v>
      </c>
    </row>
    <row r="30" customFormat="false" ht="15" hidden="false" customHeight="false" outlineLevel="0" collapsed="false">
      <c r="A30" s="6" t="s">
        <v>204</v>
      </c>
      <c r="B30" s="31" t="n">
        <v>279</v>
      </c>
      <c r="C30" s="6" t="s">
        <v>78</v>
      </c>
      <c r="D30" s="12" t="s">
        <v>205</v>
      </c>
      <c r="E30" s="12" t="s">
        <v>203</v>
      </c>
    </row>
    <row r="31" customFormat="false" ht="15" hidden="false" customHeight="false" outlineLevel="0" collapsed="false">
      <c r="A31" s="6" t="s">
        <v>206</v>
      </c>
      <c r="B31" s="31" t="n">
        <v>492</v>
      </c>
      <c r="C31" s="6" t="s">
        <v>78</v>
      </c>
      <c r="D31" s="12" t="s">
        <v>207</v>
      </c>
      <c r="E31" s="12" t="s">
        <v>203</v>
      </c>
    </row>
    <row r="32" customFormat="false" ht="15" hidden="false" customHeight="false" outlineLevel="0" collapsed="false">
      <c r="A32" s="6" t="s">
        <v>208</v>
      </c>
      <c r="B32" s="26" t="n">
        <f aca="false">B31/B30-1</f>
        <v>0.763440860215054</v>
      </c>
      <c r="C32" s="6" t="s">
        <v>91</v>
      </c>
      <c r="D32" s="12" t="s">
        <v>193</v>
      </c>
      <c r="E32" s="12" t="s">
        <v>209</v>
      </c>
    </row>
    <row r="34" customFormat="false" ht="15" hidden="false" customHeight="false" outlineLevel="0" collapsed="false">
      <c r="A34" s="3" t="s">
        <v>210</v>
      </c>
    </row>
    <row r="35" customFormat="false" ht="30" hidden="false" customHeight="true" outlineLevel="0" collapsed="false">
      <c r="A35" s="5" t="s">
        <v>136</v>
      </c>
      <c r="B35" s="5" t="s">
        <v>74</v>
      </c>
      <c r="C35" s="5" t="s">
        <v>75</v>
      </c>
      <c r="D35" s="5" t="s">
        <v>196</v>
      </c>
      <c r="E35" s="5" t="s">
        <v>162</v>
      </c>
    </row>
    <row r="36" customFormat="false" ht="15" hidden="false" customHeight="false" outlineLevel="0" collapsed="false">
      <c r="A36" s="7" t="s">
        <v>211</v>
      </c>
      <c r="B36" s="17" t="n">
        <v>0.051</v>
      </c>
      <c r="C36" s="6" t="s">
        <v>91</v>
      </c>
      <c r="D36" s="12" t="s">
        <v>212</v>
      </c>
      <c r="E36" s="12" t="s">
        <v>213</v>
      </c>
    </row>
    <row r="37" customFormat="false" ht="15" hidden="false" customHeight="false" outlineLevel="0" collapsed="false">
      <c r="A37" s="7" t="s">
        <v>214</v>
      </c>
      <c r="B37" s="17" t="n">
        <v>0.242</v>
      </c>
      <c r="C37" s="6" t="s">
        <v>91</v>
      </c>
      <c r="D37" s="12" t="s">
        <v>215</v>
      </c>
      <c r="E37" s="12" t="s">
        <v>216</v>
      </c>
    </row>
    <row r="38" customFormat="false" ht="15" hidden="false" customHeight="false" outlineLevel="0" collapsed="false">
      <c r="A38" s="7" t="s">
        <v>217</v>
      </c>
      <c r="B38" s="17" t="n">
        <v>0.06</v>
      </c>
      <c r="C38" s="6" t="s">
        <v>91</v>
      </c>
      <c r="D38" s="12" t="s">
        <v>218</v>
      </c>
      <c r="E38" s="12" t="s">
        <v>216</v>
      </c>
    </row>
    <row r="39" customFormat="false" ht="15" hidden="false" customHeight="false" outlineLevel="0" collapsed="false">
      <c r="A39" s="7" t="s">
        <v>219</v>
      </c>
      <c r="B39" s="17" t="n">
        <v>0.048</v>
      </c>
      <c r="C39" s="6" t="s">
        <v>91</v>
      </c>
      <c r="D39" s="12" t="s">
        <v>218</v>
      </c>
      <c r="E39" s="12" t="s">
        <v>216</v>
      </c>
    </row>
    <row r="40" customFormat="false" ht="15" hidden="false" customHeight="false" outlineLevel="0" collapsed="false">
      <c r="A40" s="7" t="s">
        <v>220</v>
      </c>
      <c r="B40" s="14" t="n">
        <v>27.9</v>
      </c>
      <c r="C40" s="6" t="s">
        <v>78</v>
      </c>
      <c r="D40" s="12" t="s">
        <v>221</v>
      </c>
      <c r="E40" s="12" t="s">
        <v>222</v>
      </c>
    </row>
    <row r="41" customFormat="false" ht="15" hidden="false" customHeight="false" outlineLevel="0" collapsed="false">
      <c r="A41" s="7" t="s">
        <v>223</v>
      </c>
      <c r="B41" s="14" t="n">
        <v>39.9</v>
      </c>
      <c r="C41" s="6" t="s">
        <v>78</v>
      </c>
      <c r="D41" s="12" t="s">
        <v>224</v>
      </c>
      <c r="E41" s="12" t="s">
        <v>222</v>
      </c>
    </row>
    <row r="42" customFormat="false" ht="15" hidden="false" customHeight="false" outlineLevel="0" collapsed="false">
      <c r="A42" s="7" t="s">
        <v>225</v>
      </c>
      <c r="B42" s="17" t="n">
        <v>0.195</v>
      </c>
      <c r="C42" s="6" t="s">
        <v>91</v>
      </c>
      <c r="D42" s="12" t="s">
        <v>226</v>
      </c>
      <c r="E42" s="12" t="s">
        <v>216</v>
      </c>
    </row>
    <row r="43" customFormat="false" ht="15" hidden="false" customHeight="false" outlineLevel="0" collapsed="false">
      <c r="A43" s="7" t="s">
        <v>227</v>
      </c>
      <c r="B43" s="14" t="n">
        <v>6.75</v>
      </c>
      <c r="C43" s="6" t="s">
        <v>228</v>
      </c>
      <c r="D43" s="12" t="s">
        <v>226</v>
      </c>
      <c r="E43" s="12" t="s">
        <v>216</v>
      </c>
    </row>
    <row r="44" customFormat="false" ht="15" hidden="false" customHeight="false" outlineLevel="0" collapsed="false">
      <c r="A44" s="7" t="s">
        <v>229</v>
      </c>
      <c r="B44" s="14" t="n">
        <v>6.4</v>
      </c>
      <c r="C44" s="6" t="s">
        <v>84</v>
      </c>
      <c r="D44" s="12" t="s">
        <v>226</v>
      </c>
      <c r="E44" s="12" t="s">
        <v>216</v>
      </c>
    </row>
    <row r="46" customFormat="false" ht="43.25" hidden="false" customHeight="false" outlineLevel="0" collapsed="false">
      <c r="A46" s="4"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2"/>
    <col collapsed="false" customWidth="true" hidden="false" outlineLevel="0" max="4" min="4" style="0" width="20"/>
    <col collapsed="false" customWidth="true" hidden="false" outlineLevel="0" max="5" min="5" style="0" width="52"/>
  </cols>
  <sheetData>
    <row r="1" customFormat="false" ht="21.75" hidden="false" customHeight="true" outlineLevel="0" collapsed="false">
      <c r="A1" s="1" t="s">
        <v>21</v>
      </c>
    </row>
    <row r="2" customFormat="false" ht="15" hidden="false" customHeight="false" outlineLevel="0" collapsed="false">
      <c r="A2" s="2" t="s">
        <v>231</v>
      </c>
    </row>
    <row r="4" customFormat="false" ht="15" hidden="false" customHeight="false" outlineLevel="0" collapsed="false">
      <c r="A4" s="3" t="s">
        <v>232</v>
      </c>
    </row>
    <row r="5" customFormat="false" ht="30" hidden="false" customHeight="true" outlineLevel="0" collapsed="false">
      <c r="A5" s="5" t="s">
        <v>233</v>
      </c>
      <c r="B5" s="5" t="s">
        <v>74</v>
      </c>
      <c r="C5" s="5" t="s">
        <v>75</v>
      </c>
      <c r="D5" s="5" t="s">
        <v>196</v>
      </c>
      <c r="E5" s="5" t="s">
        <v>162</v>
      </c>
    </row>
    <row r="6" customFormat="false" ht="15" hidden="false" customHeight="false" outlineLevel="0" collapsed="false">
      <c r="A6" s="7" t="s">
        <v>234</v>
      </c>
      <c r="B6" s="14" t="n">
        <v>2.7</v>
      </c>
      <c r="C6" s="6" t="s">
        <v>78</v>
      </c>
      <c r="D6" s="12" t="s">
        <v>235</v>
      </c>
      <c r="E6" s="12" t="s">
        <v>236</v>
      </c>
    </row>
    <row r="7" customFormat="false" ht="15" hidden="false" customHeight="false" outlineLevel="0" collapsed="false">
      <c r="A7" s="7" t="s">
        <v>237</v>
      </c>
      <c r="B7" s="14" t="n">
        <v>11.4</v>
      </c>
      <c r="C7" s="6" t="s">
        <v>78</v>
      </c>
      <c r="D7" s="12" t="s">
        <v>238</v>
      </c>
      <c r="E7" s="12" t="s">
        <v>239</v>
      </c>
    </row>
    <row r="8" customFormat="false" ht="15" hidden="false" customHeight="false" outlineLevel="0" collapsed="false">
      <c r="A8" s="7" t="s">
        <v>240</v>
      </c>
      <c r="B8" s="14" t="n">
        <v>1.64</v>
      </c>
      <c r="C8" s="6" t="s">
        <v>78</v>
      </c>
      <c r="D8" s="12" t="s">
        <v>235</v>
      </c>
      <c r="E8" s="12" t="s">
        <v>241</v>
      </c>
    </row>
    <row r="9" customFormat="false" ht="15" hidden="false" customHeight="false" outlineLevel="0" collapsed="false">
      <c r="A9" s="7" t="s">
        <v>242</v>
      </c>
      <c r="B9" s="14" t="n">
        <v>1.6</v>
      </c>
      <c r="C9" s="6" t="s">
        <v>78</v>
      </c>
      <c r="D9" s="12" t="s">
        <v>243</v>
      </c>
      <c r="E9" s="12" t="s">
        <v>241</v>
      </c>
    </row>
    <row r="10" customFormat="false" ht="15" hidden="false" customHeight="false" outlineLevel="0" collapsed="false">
      <c r="A10" s="7" t="s">
        <v>244</v>
      </c>
      <c r="B10" s="14" t="n">
        <v>2.6</v>
      </c>
      <c r="C10" s="6" t="s">
        <v>78</v>
      </c>
      <c r="D10" s="12" t="s">
        <v>243</v>
      </c>
      <c r="E10" s="12" t="s">
        <v>241</v>
      </c>
    </row>
    <row r="11" customFormat="false" ht="15" hidden="false" customHeight="false" outlineLevel="0" collapsed="false">
      <c r="A11" s="7" t="s">
        <v>245</v>
      </c>
      <c r="B11" s="14" t="n">
        <v>1.1</v>
      </c>
      <c r="C11" s="6" t="s">
        <v>78</v>
      </c>
      <c r="D11" s="12" t="s">
        <v>243</v>
      </c>
      <c r="E11" s="12" t="s">
        <v>241</v>
      </c>
    </row>
    <row r="12" customFormat="false" ht="15" hidden="false" customHeight="false" outlineLevel="0" collapsed="false">
      <c r="A12" s="7" t="s">
        <v>246</v>
      </c>
      <c r="B12" s="14" t="n">
        <v>2.6</v>
      </c>
      <c r="C12" s="6" t="s">
        <v>78</v>
      </c>
      <c r="D12" s="12" t="s">
        <v>243</v>
      </c>
      <c r="E12" s="12" t="s">
        <v>241</v>
      </c>
    </row>
    <row r="13" customFormat="false" ht="15" hidden="false" customHeight="false" outlineLevel="0" collapsed="false">
      <c r="A13" s="7" t="s">
        <v>247</v>
      </c>
      <c r="B13" s="14" t="n">
        <v>3.04</v>
      </c>
      <c r="C13" s="6" t="s">
        <v>78</v>
      </c>
      <c r="D13" s="12" t="s">
        <v>248</v>
      </c>
      <c r="E13" s="12" t="s">
        <v>249</v>
      </c>
    </row>
    <row r="14" customFormat="false" ht="32.8" hidden="false" customHeight="false" outlineLevel="0" collapsed="false">
      <c r="A14" s="4" t="s">
        <v>250</v>
      </c>
    </row>
    <row r="17" customFormat="false" ht="15" hidden="false" customHeight="false" outlineLevel="0" collapsed="false">
      <c r="A17" s="3" t="s">
        <v>251</v>
      </c>
    </row>
    <row r="18" customFormat="false" ht="30" hidden="false" customHeight="true" outlineLevel="0" collapsed="false">
      <c r="A18" s="5" t="s">
        <v>252</v>
      </c>
      <c r="B18" s="5" t="s">
        <v>253</v>
      </c>
      <c r="C18" s="5" t="s">
        <v>75</v>
      </c>
      <c r="D18" s="5" t="s">
        <v>196</v>
      </c>
      <c r="E18" s="5" t="s">
        <v>137</v>
      </c>
    </row>
    <row r="19" customFormat="false" ht="15" hidden="false" customHeight="false" outlineLevel="0" collapsed="false">
      <c r="A19" s="7" t="s">
        <v>254</v>
      </c>
      <c r="B19" s="14" t="n">
        <v>11.7</v>
      </c>
      <c r="C19" s="6" t="s">
        <v>78</v>
      </c>
      <c r="D19" s="12" t="s">
        <v>255</v>
      </c>
      <c r="E19" s="12" t="s">
        <v>256</v>
      </c>
    </row>
    <row r="20" customFormat="false" ht="15" hidden="false" customHeight="false" outlineLevel="0" collapsed="false">
      <c r="A20" s="7" t="s">
        <v>257</v>
      </c>
      <c r="B20" s="14" t="n">
        <v>11.7</v>
      </c>
      <c r="C20" s="6" t="s">
        <v>78</v>
      </c>
      <c r="D20" s="12" t="s">
        <v>255</v>
      </c>
      <c r="E20" s="12" t="s">
        <v>256</v>
      </c>
    </row>
    <row r="21" customFormat="false" ht="15" hidden="false" customHeight="false" outlineLevel="0" collapsed="false">
      <c r="A21" s="7" t="s">
        <v>258</v>
      </c>
      <c r="B21" s="14" t="n">
        <v>15</v>
      </c>
      <c r="C21" s="6" t="s">
        <v>78</v>
      </c>
      <c r="D21" s="12" t="s">
        <v>255</v>
      </c>
      <c r="E21" s="12" t="s">
        <v>259</v>
      </c>
    </row>
    <row r="22" customFormat="false" ht="15" hidden="false" customHeight="false" outlineLevel="0" collapsed="false">
      <c r="A22" s="7" t="s">
        <v>260</v>
      </c>
      <c r="B22" s="14" t="n">
        <v>4</v>
      </c>
      <c r="C22" s="6" t="s">
        <v>78</v>
      </c>
      <c r="D22" s="12" t="s">
        <v>255</v>
      </c>
      <c r="E22" s="12" t="s">
        <v>261</v>
      </c>
    </row>
    <row r="23" customFormat="false" ht="15" hidden="false" customHeight="false" outlineLevel="0" collapsed="false">
      <c r="A23" s="7" t="s">
        <v>262</v>
      </c>
      <c r="B23" s="14" t="n">
        <v>7.6</v>
      </c>
      <c r="C23" s="6" t="s">
        <v>78</v>
      </c>
      <c r="D23" s="12" t="s">
        <v>255</v>
      </c>
      <c r="E23" s="12" t="s">
        <v>263</v>
      </c>
    </row>
    <row r="24" customFormat="false" ht="15" hidden="false" customHeight="false" outlineLevel="0" collapsed="false">
      <c r="A24" s="19" t="s">
        <v>264</v>
      </c>
      <c r="B24" s="25" t="n">
        <f aca="false">SUM(B19:B23)</f>
        <v>50</v>
      </c>
      <c r="C24" s="33" t="s">
        <v>78</v>
      </c>
      <c r="D24" s="24" t="s">
        <v>255</v>
      </c>
      <c r="E24" s="24" t="s">
        <v>265</v>
      </c>
    </row>
    <row r="26" customFormat="false" ht="15" hidden="false" customHeight="false" outlineLevel="0" collapsed="false">
      <c r="A26" s="3" t="s">
        <v>266</v>
      </c>
    </row>
    <row r="27" customFormat="false" ht="30" hidden="false" customHeight="true" outlineLevel="0" collapsed="false">
      <c r="A27" s="5" t="s">
        <v>267</v>
      </c>
      <c r="B27" s="5" t="s">
        <v>74</v>
      </c>
      <c r="C27" s="5" t="s">
        <v>75</v>
      </c>
      <c r="D27" s="5"/>
      <c r="E27" s="5" t="s">
        <v>268</v>
      </c>
    </row>
    <row r="28" customFormat="false" ht="15" hidden="false" customHeight="false" outlineLevel="0" collapsed="false">
      <c r="A28" s="7" t="s">
        <v>269</v>
      </c>
      <c r="B28" s="23" t="n">
        <f aca="false">Assumptions!B8</f>
        <v>8.7</v>
      </c>
      <c r="C28" s="6" t="s">
        <v>84</v>
      </c>
      <c r="D28" s="6"/>
      <c r="E28" s="12" t="s">
        <v>270</v>
      </c>
    </row>
    <row r="29" customFormat="false" ht="15" hidden="false" customHeight="false" outlineLevel="0" collapsed="false">
      <c r="A29" s="6" t="s">
        <v>90</v>
      </c>
      <c r="B29" s="26" t="n">
        <f aca="false">B28/Assumptions!B6</f>
        <v>0.127941176470588</v>
      </c>
      <c r="C29" s="6" t="s">
        <v>91</v>
      </c>
      <c r="D29" s="6"/>
      <c r="E29" s="12" t="s">
        <v>271</v>
      </c>
    </row>
    <row r="30" customFormat="false" ht="22.35" hidden="false" customHeight="false" outlineLevel="0" collapsed="false">
      <c r="A30" s="7" t="s">
        <v>272</v>
      </c>
      <c r="B30" s="17" t="n">
        <v>0.67</v>
      </c>
      <c r="C30" s="6" t="s">
        <v>91</v>
      </c>
      <c r="D30" s="6"/>
      <c r="E30" s="12" t="s">
        <v>273</v>
      </c>
    </row>
    <row r="31" customFormat="false" ht="15" hidden="false" customHeight="false" outlineLevel="0" collapsed="false">
      <c r="A31" s="6" t="s">
        <v>274</v>
      </c>
      <c r="B31" s="15" t="n">
        <f aca="false">B30*B24</f>
        <v>33.5</v>
      </c>
      <c r="C31" s="6" t="s">
        <v>78</v>
      </c>
      <c r="D31" s="6"/>
      <c r="E31" s="12" t="s">
        <v>275</v>
      </c>
    </row>
    <row r="32" customFormat="false" ht="15" hidden="false" customHeight="false" outlineLevel="0" collapsed="false">
      <c r="A32" s="7" t="s">
        <v>276</v>
      </c>
      <c r="B32" s="23" t="n">
        <f aca="false">Assumptions!B9</f>
        <v>2</v>
      </c>
      <c r="C32" s="6" t="s">
        <v>84</v>
      </c>
      <c r="D32" s="6"/>
      <c r="E32" s="12" t="s">
        <v>277</v>
      </c>
    </row>
    <row r="33" customFormat="false" ht="15" hidden="false" customHeight="false" outlineLevel="0" collapsed="false">
      <c r="A33" s="19" t="s">
        <v>278</v>
      </c>
      <c r="B33" s="28" t="n">
        <f aca="false">Assumptions!B10</f>
        <v>6.7</v>
      </c>
      <c r="C33" s="33" t="s">
        <v>84</v>
      </c>
      <c r="D33" s="33"/>
      <c r="E33" s="24" t="s">
        <v>271</v>
      </c>
    </row>
    <row r="34" customFormat="false" ht="15" hidden="false" customHeight="false" outlineLevel="0" collapsed="false">
      <c r="A34" s="19" t="s">
        <v>90</v>
      </c>
      <c r="B34" s="34" t="n">
        <f aca="false">Assumptions!B11</f>
        <v>0.0985294117647059</v>
      </c>
      <c r="C34" s="33" t="s">
        <v>91</v>
      </c>
      <c r="D34" s="33"/>
      <c r="E34" s="24" t="s">
        <v>279</v>
      </c>
    </row>
    <row r="36" customFormat="false" ht="15" hidden="false" customHeight="false" outlineLevel="0" collapsed="false">
      <c r="A36" s="3" t="s">
        <v>280</v>
      </c>
    </row>
    <row r="37" customFormat="false" ht="30" hidden="false" customHeight="true" outlineLevel="0" collapsed="false">
      <c r="A37" s="5" t="s">
        <v>233</v>
      </c>
      <c r="B37" s="5" t="s">
        <v>74</v>
      </c>
      <c r="C37" s="5" t="s">
        <v>75</v>
      </c>
      <c r="D37" s="5" t="s">
        <v>281</v>
      </c>
      <c r="E37" s="5" t="s">
        <v>137</v>
      </c>
    </row>
    <row r="38" customFormat="false" ht="15" hidden="false" customHeight="false" outlineLevel="0" collapsed="false">
      <c r="A38" s="7" t="s">
        <v>282</v>
      </c>
      <c r="B38" s="14" t="n">
        <v>23</v>
      </c>
      <c r="C38" s="6" t="s">
        <v>78</v>
      </c>
      <c r="D38" s="12" t="s">
        <v>283</v>
      </c>
      <c r="E38" s="12" t="s">
        <v>284</v>
      </c>
    </row>
    <row r="39" customFormat="false" ht="15" hidden="false" customHeight="false" outlineLevel="0" collapsed="false">
      <c r="A39" s="7" t="s">
        <v>285</v>
      </c>
      <c r="B39" s="14" t="n">
        <v>51</v>
      </c>
      <c r="C39" s="6" t="s">
        <v>78</v>
      </c>
      <c r="D39" s="12" t="s">
        <v>283</v>
      </c>
      <c r="E39" s="12" t="s">
        <v>286</v>
      </c>
    </row>
    <row r="40" customFormat="false" ht="15" hidden="false" customHeight="false" outlineLevel="0" collapsed="false">
      <c r="A40" s="7" t="s">
        <v>287</v>
      </c>
      <c r="B40" s="14" t="n">
        <v>11</v>
      </c>
      <c r="C40" s="6" t="s">
        <v>78</v>
      </c>
      <c r="D40" s="12" t="s">
        <v>104</v>
      </c>
      <c r="E40" s="12" t="s">
        <v>288</v>
      </c>
    </row>
    <row r="41" customFormat="false" ht="15" hidden="false" customHeight="false" outlineLevel="0" collapsed="false">
      <c r="A41" s="7" t="s">
        <v>289</v>
      </c>
      <c r="B41" s="14" t="n">
        <v>1.2</v>
      </c>
      <c r="C41" s="6" t="s">
        <v>78</v>
      </c>
      <c r="D41" s="12" t="s">
        <v>243</v>
      </c>
      <c r="E41" s="12" t="s">
        <v>290</v>
      </c>
    </row>
    <row r="42" customFormat="false" ht="15" hidden="false" customHeight="false" outlineLevel="0" collapsed="false">
      <c r="A42" s="7" t="s">
        <v>291</v>
      </c>
      <c r="B42" s="14" t="n">
        <v>0.682</v>
      </c>
      <c r="C42" s="6" t="s">
        <v>78</v>
      </c>
      <c r="D42" s="12" t="s">
        <v>292</v>
      </c>
      <c r="E42" s="12" t="s">
        <v>293</v>
      </c>
    </row>
    <row r="43" customFormat="false" ht="15" hidden="false" customHeight="false" outlineLevel="0" collapsed="false">
      <c r="A43" s="7" t="s">
        <v>294</v>
      </c>
      <c r="B43" s="17" t="n">
        <v>-0.16</v>
      </c>
      <c r="C43" s="6" t="s">
        <v>91</v>
      </c>
      <c r="D43" s="12" t="s">
        <v>295</v>
      </c>
      <c r="E43" s="12" t="s">
        <v>296</v>
      </c>
    </row>
    <row r="44" customFormat="false" ht="15" hidden="false" customHeight="false" outlineLevel="0" collapsed="false">
      <c r="A44" s="7" t="s">
        <v>297</v>
      </c>
      <c r="B44" s="14" t="n">
        <v>0.91</v>
      </c>
      <c r="C44" s="6" t="s">
        <v>78</v>
      </c>
      <c r="D44" s="12" t="s">
        <v>295</v>
      </c>
      <c r="E44" s="12" t="s">
        <v>298</v>
      </c>
    </row>
    <row r="45" customFormat="false" ht="15" hidden="false" customHeight="false" outlineLevel="0" collapsed="false">
      <c r="A45" s="7" t="s">
        <v>299</v>
      </c>
      <c r="B45" s="14" t="n">
        <v>1</v>
      </c>
      <c r="C45" s="6" t="s">
        <v>78</v>
      </c>
      <c r="D45" s="12" t="s">
        <v>295</v>
      </c>
      <c r="E45" s="12" t="s">
        <v>300</v>
      </c>
    </row>
    <row r="46" customFormat="false" ht="15" hidden="false" customHeight="false" outlineLevel="0" collapsed="false">
      <c r="A46" s="7" t="s">
        <v>301</v>
      </c>
      <c r="B46" s="14" t="n">
        <v>14</v>
      </c>
      <c r="C46" s="6" t="s">
        <v>78</v>
      </c>
      <c r="D46" s="12" t="s">
        <v>302</v>
      </c>
      <c r="E46" s="12" t="s">
        <v>303</v>
      </c>
    </row>
    <row r="47" customFormat="false" ht="15" hidden="false" customHeight="false" outlineLevel="0" collapsed="false">
      <c r="A47" s="7" t="s">
        <v>304</v>
      </c>
      <c r="B47" s="14" t="n">
        <v>16.5</v>
      </c>
      <c r="C47" s="6" t="s">
        <v>78</v>
      </c>
      <c r="D47" s="12" t="s">
        <v>305</v>
      </c>
      <c r="E47" s="12" t="s">
        <v>306</v>
      </c>
    </row>
    <row r="48" customFormat="false" ht="15" hidden="false" customHeight="false" outlineLevel="0" collapsed="false">
      <c r="A48" s="7" t="s">
        <v>307</v>
      </c>
      <c r="B48" s="14" t="n">
        <v>0.065</v>
      </c>
      <c r="C48" s="6" t="s">
        <v>84</v>
      </c>
      <c r="D48" s="12" t="s">
        <v>308</v>
      </c>
      <c r="E48" s="12" t="s">
        <v>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56"/>
  </cols>
  <sheetData>
    <row r="1" customFormat="false" ht="21.75" hidden="false" customHeight="true" outlineLevel="0" collapsed="false">
      <c r="A1" s="1" t="s">
        <v>310</v>
      </c>
    </row>
    <row r="2" customFormat="false" ht="15" hidden="false" customHeight="false" outlineLevel="0" collapsed="false">
      <c r="A2" s="2" t="s">
        <v>311</v>
      </c>
    </row>
    <row r="4" customFormat="false" ht="30" hidden="false" customHeight="true" outlineLevel="0" collapsed="false">
      <c r="A4" s="5" t="s">
        <v>312</v>
      </c>
      <c r="B4" s="5" t="s">
        <v>313</v>
      </c>
      <c r="C4" s="5" t="s">
        <v>75</v>
      </c>
      <c r="D4" s="5" t="s">
        <v>314</v>
      </c>
      <c r="E4" s="5" t="s">
        <v>315</v>
      </c>
    </row>
    <row r="5" customFormat="false" ht="32.8" hidden="false" customHeight="false" outlineLevel="0" collapsed="false">
      <c r="A5" s="7" t="s">
        <v>316</v>
      </c>
      <c r="B5" s="31" t="n">
        <v>625</v>
      </c>
      <c r="C5" s="6" t="s">
        <v>317</v>
      </c>
      <c r="D5" s="15" t="n">
        <f aca="false">B5/20</f>
        <v>31.25</v>
      </c>
      <c r="E5" s="12" t="s">
        <v>318</v>
      </c>
    </row>
    <row r="6" customFormat="false" ht="22.35" hidden="false" customHeight="false" outlineLevel="0" collapsed="false">
      <c r="A6" s="7" t="s">
        <v>319</v>
      </c>
      <c r="B6" s="14" t="n">
        <v>630.1</v>
      </c>
      <c r="C6" s="6" t="s">
        <v>317</v>
      </c>
      <c r="D6" s="15" t="n">
        <f aca="false">B6/20</f>
        <v>31.505</v>
      </c>
      <c r="E6" s="12" t="s">
        <v>320</v>
      </c>
    </row>
    <row r="7" customFormat="false" ht="43.25" hidden="false" customHeight="false" outlineLevel="0" collapsed="false">
      <c r="A7" s="7" t="s">
        <v>321</v>
      </c>
      <c r="B7" s="31" t="n">
        <v>99</v>
      </c>
      <c r="C7" s="6" t="s">
        <v>322</v>
      </c>
      <c r="D7" s="15" t="n">
        <f aca="false">B7+Assumptions!B6</f>
        <v>167</v>
      </c>
      <c r="E7" s="12" t="s">
        <v>323</v>
      </c>
    </row>
    <row r="8" customFormat="false" ht="32.8" hidden="false" customHeight="false" outlineLevel="0" collapsed="false">
      <c r="A8" s="7" t="s">
        <v>324</v>
      </c>
      <c r="B8" s="31" t="n">
        <v>2250</v>
      </c>
      <c r="C8" s="6" t="s">
        <v>325</v>
      </c>
      <c r="D8" s="15" t="n">
        <f aca="false">B8/25</f>
        <v>90</v>
      </c>
      <c r="E8" s="12" t="s">
        <v>326</v>
      </c>
    </row>
    <row r="10" customFormat="false" ht="15" hidden="false" customHeight="false" outlineLevel="0" collapsed="false">
      <c r="A10" s="3" t="s">
        <v>327</v>
      </c>
    </row>
    <row r="11" customFormat="false" ht="30" hidden="false" customHeight="true" outlineLevel="0" collapsed="false">
      <c r="A11" s="5" t="s">
        <v>267</v>
      </c>
      <c r="B11" s="5" t="s">
        <v>74</v>
      </c>
      <c r="C11" s="5" t="s">
        <v>75</v>
      </c>
      <c r="D11" s="5"/>
      <c r="E11" s="5" t="s">
        <v>76</v>
      </c>
    </row>
    <row r="12" customFormat="false" ht="15" hidden="false" customHeight="false" outlineLevel="0" collapsed="false">
      <c r="A12" s="7" t="s">
        <v>328</v>
      </c>
      <c r="B12" s="15" t="n">
        <f aca="false">D5+D6</f>
        <v>62.755</v>
      </c>
      <c r="C12" s="6" t="s">
        <v>329</v>
      </c>
      <c r="D12" s="6"/>
      <c r="E12" s="12" t="s">
        <v>330</v>
      </c>
    </row>
    <row r="13" customFormat="false" ht="15" hidden="false" customHeight="false" outlineLevel="0" collapsed="false">
      <c r="A13" s="6" t="s">
        <v>331</v>
      </c>
      <c r="B13" s="17" t="n">
        <v>0.045</v>
      </c>
      <c r="C13" s="6" t="s">
        <v>81</v>
      </c>
      <c r="D13" s="6"/>
      <c r="E13" s="12" t="s">
        <v>332</v>
      </c>
    </row>
    <row r="14" customFormat="false" ht="15" hidden="false" customHeight="false" outlineLevel="0" collapsed="false">
      <c r="A14" s="6" t="s">
        <v>333</v>
      </c>
      <c r="B14" s="14" t="n">
        <v>4.5</v>
      </c>
      <c r="C14" s="6" t="s">
        <v>334</v>
      </c>
      <c r="D14" s="6"/>
      <c r="E14" s="12" t="s">
        <v>335</v>
      </c>
    </row>
    <row r="15" customFormat="false" ht="15" hidden="false" customHeight="false" outlineLevel="0" collapsed="false">
      <c r="A15" s="19" t="s">
        <v>336</v>
      </c>
      <c r="B15" s="25" t="n">
        <f aca="false">B12*(1+B13)^B14</f>
        <v>76.5017977447615</v>
      </c>
      <c r="C15" s="33" t="s">
        <v>329</v>
      </c>
      <c r="D15" s="33"/>
      <c r="E15" s="24" t="s">
        <v>271</v>
      </c>
    </row>
    <row r="17" customFormat="false" ht="15" hidden="false" customHeight="false" outlineLevel="0" collapsed="false">
      <c r="A17" s="3" t="s">
        <v>337</v>
      </c>
    </row>
    <row r="18" customFormat="false" ht="30" hidden="false" customHeight="true" outlineLevel="0" collapsed="false">
      <c r="A18" s="5" t="s">
        <v>338</v>
      </c>
      <c r="B18" s="5" t="s">
        <v>74</v>
      </c>
      <c r="C18" s="5" t="s">
        <v>75</v>
      </c>
      <c r="D18" s="5"/>
      <c r="E18" s="5" t="s">
        <v>339</v>
      </c>
    </row>
    <row r="19" customFormat="false" ht="15" hidden="false" customHeight="false" outlineLevel="0" collapsed="false">
      <c r="A19" s="7" t="s">
        <v>340</v>
      </c>
      <c r="B19" s="31" t="n">
        <v>59</v>
      </c>
      <c r="C19" s="6" t="s">
        <v>78</v>
      </c>
      <c r="D19" s="6"/>
      <c r="E19" s="12" t="s">
        <v>341</v>
      </c>
    </row>
    <row r="20" customFormat="false" ht="15" hidden="false" customHeight="false" outlineLevel="0" collapsed="false">
      <c r="A20" s="6" t="s">
        <v>342</v>
      </c>
      <c r="B20" s="15" t="n">
        <f aca="false">B19*(1+B13)^3</f>
        <v>67.328801375</v>
      </c>
      <c r="C20" s="6" t="s">
        <v>78</v>
      </c>
      <c r="D20" s="6"/>
      <c r="E20" s="12" t="s">
        <v>271</v>
      </c>
    </row>
    <row r="21" customFormat="false" ht="15" hidden="false" customHeight="false" outlineLevel="0" collapsed="false">
      <c r="A21" s="7" t="s">
        <v>343</v>
      </c>
      <c r="B21" s="14" t="n">
        <v>36.5</v>
      </c>
      <c r="C21" s="6" t="s">
        <v>78</v>
      </c>
      <c r="D21" s="6"/>
      <c r="E21" s="12" t="s">
        <v>344</v>
      </c>
    </row>
    <row r="22" customFormat="false" ht="15" hidden="false" customHeight="false" outlineLevel="0" collapsed="false">
      <c r="A22" s="6" t="s">
        <v>345</v>
      </c>
      <c r="B22" s="14" t="n">
        <v>54.3</v>
      </c>
      <c r="C22" s="6" t="s">
        <v>78</v>
      </c>
      <c r="D22" s="6"/>
      <c r="E22" s="12" t="s">
        <v>344</v>
      </c>
    </row>
    <row r="23" customFormat="false" ht="15" hidden="false" customHeight="false" outlineLevel="0" collapsed="false">
      <c r="A23" s="6" t="s">
        <v>346</v>
      </c>
      <c r="B23" s="17" t="n">
        <v>0.65</v>
      </c>
      <c r="C23" s="6" t="s">
        <v>91</v>
      </c>
      <c r="D23" s="6"/>
      <c r="E23" s="12" t="s">
        <v>347</v>
      </c>
    </row>
    <row r="24" customFormat="false" ht="15" hidden="false" customHeight="false" outlineLevel="0" collapsed="false">
      <c r="A24" s="6" t="s">
        <v>348</v>
      </c>
      <c r="B24" s="15" t="n">
        <f aca="false">(B21+B22*B23)*0.95</f>
        <v>68.20525</v>
      </c>
      <c r="C24" s="6" t="s">
        <v>78</v>
      </c>
      <c r="D24" s="6"/>
      <c r="E24" s="12" t="s">
        <v>271</v>
      </c>
    </row>
    <row r="25" customFormat="false" ht="15" hidden="false" customHeight="false" outlineLevel="0" collapsed="false">
      <c r="A25" s="7" t="s">
        <v>349</v>
      </c>
      <c r="B25" s="31" t="n">
        <v>30</v>
      </c>
      <c r="C25" s="6" t="s">
        <v>78</v>
      </c>
      <c r="D25" s="6"/>
      <c r="E25" s="12" t="s">
        <v>350</v>
      </c>
    </row>
    <row r="26" customFormat="false" ht="15" hidden="false" customHeight="false" outlineLevel="0" collapsed="false">
      <c r="A26" s="7" t="s">
        <v>351</v>
      </c>
      <c r="B26" s="15" t="n">
        <f aca="false">D8/2.68</f>
        <v>33.5820895522388</v>
      </c>
      <c r="C26" s="6" t="s">
        <v>78</v>
      </c>
      <c r="D26" s="6"/>
      <c r="E26" s="12" t="s">
        <v>352</v>
      </c>
    </row>
    <row r="27" customFormat="false" ht="15" hidden="false" customHeight="false" outlineLevel="0" collapsed="false">
      <c r="A27" s="6" t="s">
        <v>353</v>
      </c>
      <c r="B27" s="15" t="n">
        <f aca="false">B25+B26</f>
        <v>63.5820895522388</v>
      </c>
      <c r="C27" s="6" t="s">
        <v>78</v>
      </c>
      <c r="D27" s="6"/>
      <c r="E27" s="12" t="s">
        <v>271</v>
      </c>
    </row>
    <row r="28" customFormat="false" ht="15" hidden="false" customHeight="false" outlineLevel="0" collapsed="false">
      <c r="A28" s="7" t="s">
        <v>354</v>
      </c>
      <c r="B28" s="15" t="n">
        <f aca="false">AVERAGE(B20,B24)</f>
        <v>67.7670256875</v>
      </c>
      <c r="C28" s="6" t="s">
        <v>78</v>
      </c>
      <c r="D28" s="6"/>
      <c r="E28" s="12" t="s">
        <v>355</v>
      </c>
    </row>
    <row r="29" customFormat="false" ht="22.35" hidden="false" customHeight="false" outlineLevel="0" collapsed="false">
      <c r="A29" s="6" t="s">
        <v>356</v>
      </c>
      <c r="B29" s="15" t="n">
        <f aca="false">AVERAGE(B20,B24,B27)</f>
        <v>66.3720469757463</v>
      </c>
      <c r="C29" s="6" t="s">
        <v>78</v>
      </c>
      <c r="D29" s="6"/>
      <c r="E29" s="12" t="s">
        <v>357</v>
      </c>
    </row>
    <row r="30" customFormat="false" ht="15" hidden="false" customHeight="false" outlineLevel="0" collapsed="false">
      <c r="A30" s="6" t="s">
        <v>358</v>
      </c>
      <c r="B30" s="15" t="n">
        <f aca="false">MIN(B20,B24,B27)</f>
        <v>63.5820895522388</v>
      </c>
      <c r="C30" s="6" t="s">
        <v>78</v>
      </c>
      <c r="D30" s="15" t="n">
        <f aca="false">MAX(B20,B24,B27)</f>
        <v>68.20525</v>
      </c>
      <c r="E30" s="12" t="s">
        <v>359</v>
      </c>
    </row>
    <row r="31" customFormat="false" ht="32.8" hidden="false" customHeight="false" outlineLevel="0" collapsed="false">
      <c r="A31" s="19" t="s">
        <v>360</v>
      </c>
      <c r="B31" s="35" t="n">
        <f aca="false">Assumptions!B6</f>
        <v>68</v>
      </c>
      <c r="C31" s="33" t="s">
        <v>78</v>
      </c>
      <c r="D31" s="33"/>
      <c r="E31" s="24" t="s">
        <v>361</v>
      </c>
    </row>
    <row r="32" customFormat="false" ht="15" hidden="false" customHeight="false" outlineLevel="0" collapsed="false">
      <c r="A32" s="6" t="s">
        <v>362</v>
      </c>
      <c r="B32" s="16" t="n">
        <f aca="false">Assumptions!B6/B29-1</f>
        <v>0.0245276904725966</v>
      </c>
      <c r="C32" s="6" t="s">
        <v>91</v>
      </c>
      <c r="D32" s="6"/>
      <c r="E32" s="12" t="s">
        <v>363</v>
      </c>
    </row>
    <row r="33" customFormat="false" ht="15" hidden="false" customHeight="false" outlineLevel="0" collapsed="false">
      <c r="A33" s="7" t="s">
        <v>364</v>
      </c>
      <c r="B33" s="15" t="n">
        <f aca="false">B15-Assumptions!B6</f>
        <v>8.50179774476149</v>
      </c>
      <c r="C33" s="6" t="s">
        <v>329</v>
      </c>
      <c r="D33" s="6"/>
      <c r="E33" s="12" t="s">
        <v>365</v>
      </c>
    </row>
    <row r="34" customFormat="false" ht="15" hidden="false" customHeight="false" outlineLevel="0" collapsed="false">
      <c r="A34" s="6" t="s">
        <v>366</v>
      </c>
      <c r="B34" s="16" t="n">
        <f aca="false">B33/Assumptions!B6</f>
        <v>0.125026437422963</v>
      </c>
      <c r="C34" s="6" t="s">
        <v>91</v>
      </c>
      <c r="D34" s="6"/>
      <c r="E34" s="12" t="s">
        <v>271</v>
      </c>
    </row>
    <row r="36" customFormat="false" ht="74.6" hidden="false" customHeight="false" outlineLevel="0" collapsed="false">
      <c r="A36" s="4" t="s">
        <v>367</v>
      </c>
    </row>
    <row r="38" customFormat="false" ht="15" hidden="false" customHeight="false" outlineLevel="0" collapsed="false">
      <c r="A38" s="3" t="s">
        <v>368</v>
      </c>
    </row>
    <row r="39" customFormat="false" ht="30" hidden="false" customHeight="true" outlineLevel="0" collapsed="false">
      <c r="A39" s="5" t="s">
        <v>369</v>
      </c>
      <c r="B39" s="5" t="s">
        <v>74</v>
      </c>
      <c r="C39" s="5" t="s">
        <v>75</v>
      </c>
      <c r="D39" s="5" t="s">
        <v>196</v>
      </c>
      <c r="E39" s="5" t="s">
        <v>162</v>
      </c>
    </row>
    <row r="40" customFormat="false" ht="15" hidden="false" customHeight="false" outlineLevel="0" collapsed="false">
      <c r="A40" s="7" t="s">
        <v>370</v>
      </c>
      <c r="B40" s="14" t="n">
        <v>515.4</v>
      </c>
      <c r="C40" s="6" t="s">
        <v>78</v>
      </c>
      <c r="D40" s="12" t="s">
        <v>371</v>
      </c>
      <c r="E40" s="12" t="s">
        <v>372</v>
      </c>
    </row>
    <row r="41" customFormat="false" ht="15" hidden="false" customHeight="false" outlineLevel="0" collapsed="false">
      <c r="A41" s="7" t="s">
        <v>373</v>
      </c>
      <c r="B41" s="14" t="n">
        <v>37.2</v>
      </c>
      <c r="C41" s="6" t="s">
        <v>78</v>
      </c>
      <c r="D41" s="12" t="s">
        <v>104</v>
      </c>
      <c r="E41" s="12" t="s">
        <v>216</v>
      </c>
    </row>
    <row r="42" customFormat="false" ht="15" hidden="false" customHeight="false" outlineLevel="0" collapsed="false">
      <c r="A42" s="7" t="s">
        <v>374</v>
      </c>
      <c r="B42" s="14" t="n">
        <v>57.3</v>
      </c>
      <c r="C42" s="6" t="s">
        <v>78</v>
      </c>
      <c r="D42" s="12" t="s">
        <v>113</v>
      </c>
      <c r="E42" s="12" t="s">
        <v>216</v>
      </c>
    </row>
    <row r="43" customFormat="false" ht="15" hidden="false" customHeight="false" outlineLevel="0" collapsed="false">
      <c r="A43" s="7" t="s">
        <v>375</v>
      </c>
      <c r="B43" s="14" t="n">
        <v>310.4</v>
      </c>
      <c r="C43" s="6" t="s">
        <v>78</v>
      </c>
      <c r="D43" s="12" t="s">
        <v>371</v>
      </c>
      <c r="E43" s="12" t="s">
        <v>376</v>
      </c>
    </row>
    <row r="44" customFormat="false" ht="15" hidden="false" customHeight="false" outlineLevel="0" collapsed="false">
      <c r="A44" s="7" t="s">
        <v>377</v>
      </c>
      <c r="B44" s="14" t="n">
        <v>406.4</v>
      </c>
      <c r="C44" s="6" t="s">
        <v>78</v>
      </c>
      <c r="D44" s="12" t="s">
        <v>371</v>
      </c>
      <c r="E44" s="12" t="s">
        <v>378</v>
      </c>
    </row>
    <row r="45" customFormat="false" ht="15" hidden="false" customHeight="false" outlineLevel="0" collapsed="false">
      <c r="A45" s="7" t="s">
        <v>379</v>
      </c>
      <c r="B45" s="14" t="n">
        <v>99.3</v>
      </c>
      <c r="C45" s="6" t="s">
        <v>78</v>
      </c>
      <c r="D45" s="12" t="s">
        <v>380</v>
      </c>
      <c r="E45" s="12" t="s">
        <v>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F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5" min="2" style="0" width="14"/>
    <col collapsed="false" customWidth="true" hidden="false" outlineLevel="0" max="6" min="6" style="0" width="44"/>
  </cols>
  <sheetData>
    <row r="1" customFormat="false" ht="21.75" hidden="false" customHeight="true" outlineLevel="0" collapsed="false">
      <c r="A1" s="1" t="s">
        <v>382</v>
      </c>
    </row>
    <row r="2" customFormat="false" ht="15" hidden="false" customHeight="false" outlineLevel="0" collapsed="false">
      <c r="A2" s="2" t="s">
        <v>383</v>
      </c>
    </row>
    <row r="4" customFormat="false" ht="15" hidden="false" customHeight="false" outlineLevel="0" collapsed="false">
      <c r="A4" s="3" t="s">
        <v>384</v>
      </c>
    </row>
    <row r="5" customFormat="false" ht="30" hidden="false" customHeight="true" outlineLevel="0" collapsed="false">
      <c r="A5" s="5" t="s">
        <v>136</v>
      </c>
      <c r="B5" s="5" t="s">
        <v>74</v>
      </c>
      <c r="C5" s="5" t="s">
        <v>75</v>
      </c>
      <c r="D5" s="5"/>
      <c r="E5" s="5"/>
      <c r="F5" s="5" t="s">
        <v>137</v>
      </c>
    </row>
    <row r="6" customFormat="false" ht="15" hidden="false" customHeight="false" outlineLevel="0" collapsed="false">
      <c r="A6" s="7" t="s">
        <v>385</v>
      </c>
      <c r="B6" s="31" t="n">
        <v>802</v>
      </c>
      <c r="C6" s="6" t="s">
        <v>386</v>
      </c>
      <c r="D6" s="6"/>
      <c r="E6" s="6"/>
      <c r="F6" s="12" t="s">
        <v>387</v>
      </c>
    </row>
    <row r="7" customFormat="false" ht="15" hidden="false" customHeight="false" outlineLevel="0" collapsed="false">
      <c r="A7" s="7" t="s">
        <v>388</v>
      </c>
      <c r="B7" s="17" t="n">
        <v>0.3</v>
      </c>
      <c r="C7" s="6" t="s">
        <v>91</v>
      </c>
      <c r="D7" s="6"/>
      <c r="E7" s="6"/>
      <c r="F7" s="12" t="s">
        <v>389</v>
      </c>
    </row>
    <row r="8" customFormat="false" ht="15" hidden="false" customHeight="false" outlineLevel="0" collapsed="false">
      <c r="A8" s="7" t="s">
        <v>390</v>
      </c>
      <c r="B8" s="31" t="n">
        <v>400000</v>
      </c>
      <c r="C8" s="6" t="s">
        <v>391</v>
      </c>
      <c r="D8" s="6"/>
      <c r="E8" s="6"/>
      <c r="F8" s="12" t="s">
        <v>392</v>
      </c>
    </row>
    <row r="9" customFormat="false" ht="15" hidden="false" customHeight="false" outlineLevel="0" collapsed="false">
      <c r="A9" s="7" t="s">
        <v>393</v>
      </c>
      <c r="B9" s="36" t="n">
        <v>2023</v>
      </c>
      <c r="C9" s="6" t="s">
        <v>394</v>
      </c>
      <c r="D9" s="6"/>
      <c r="E9" s="6"/>
      <c r="F9" s="12" t="s">
        <v>395</v>
      </c>
    </row>
    <row r="10" customFormat="false" ht="53.7" hidden="false" customHeight="false" outlineLevel="0" collapsed="false">
      <c r="A10" s="4" t="s">
        <v>396</v>
      </c>
    </row>
    <row r="13" customFormat="false" ht="15" hidden="false" customHeight="false" outlineLevel="0" collapsed="false">
      <c r="A13" s="3" t="s">
        <v>397</v>
      </c>
    </row>
    <row r="14" customFormat="false" ht="30" hidden="false" customHeight="true" outlineLevel="0" collapsed="false">
      <c r="A14" s="5" t="s">
        <v>398</v>
      </c>
      <c r="B14" s="5" t="s">
        <v>399</v>
      </c>
      <c r="C14" s="5" t="s">
        <v>400</v>
      </c>
      <c r="D14" s="5" t="s">
        <v>401</v>
      </c>
      <c r="E14" s="5" t="s">
        <v>402</v>
      </c>
      <c r="F14" s="5" t="s">
        <v>403</v>
      </c>
    </row>
    <row r="15" customFormat="false" ht="32.8" hidden="false" customHeight="false" outlineLevel="0" collapsed="false">
      <c r="A15" s="7" t="s">
        <v>404</v>
      </c>
      <c r="B15" s="14" t="n">
        <v>28.6</v>
      </c>
      <c r="C15" s="31" t="n">
        <v>90657</v>
      </c>
      <c r="D15" s="26" t="n">
        <f aca="false">C15/$C$20</f>
        <v>0.245420214133922</v>
      </c>
      <c r="E15" s="17" t="n">
        <v>0.86</v>
      </c>
      <c r="F15" s="12" t="s">
        <v>405</v>
      </c>
    </row>
    <row r="16" customFormat="false" ht="22.35" hidden="false" customHeight="false" outlineLevel="0" collapsed="false">
      <c r="A16" s="7" t="s">
        <v>406</v>
      </c>
      <c r="B16" s="14" t="n">
        <v>10.3</v>
      </c>
      <c r="C16" s="31" t="n">
        <v>42365</v>
      </c>
      <c r="D16" s="26" t="n">
        <f aca="false">C16/$C$20</f>
        <v>0.114687529609226</v>
      </c>
      <c r="E16" s="17" t="n">
        <v>0.41</v>
      </c>
      <c r="F16" s="12" t="s">
        <v>407</v>
      </c>
    </row>
    <row r="17" customFormat="false" ht="15" hidden="false" customHeight="false" outlineLevel="0" collapsed="false">
      <c r="A17" s="7" t="s">
        <v>408</v>
      </c>
      <c r="B17" s="14" t="n">
        <v>9.2</v>
      </c>
      <c r="C17" s="31" t="n">
        <v>11358</v>
      </c>
      <c r="D17" s="26" t="n">
        <f aca="false">C17/$C$20</f>
        <v>0.0307475737354323</v>
      </c>
      <c r="E17" s="17"/>
      <c r="F17" s="12" t="s">
        <v>409</v>
      </c>
    </row>
    <row r="18" customFormat="false" ht="22.35" hidden="false" customHeight="false" outlineLevel="0" collapsed="false">
      <c r="A18" s="7" t="s">
        <v>410</v>
      </c>
      <c r="B18" s="14" t="n">
        <v>5.1</v>
      </c>
      <c r="C18" s="31" t="n">
        <v>108670</v>
      </c>
      <c r="D18" s="26" t="n">
        <f aca="false">C18/$C$20</f>
        <v>0.294183732860488</v>
      </c>
      <c r="E18" s="17"/>
      <c r="F18" s="12" t="s">
        <v>411</v>
      </c>
    </row>
    <row r="19" customFormat="false" ht="22.35" hidden="false" customHeight="false" outlineLevel="0" collapsed="false">
      <c r="A19" s="7" t="s">
        <v>412</v>
      </c>
      <c r="B19" s="14" t="n">
        <v>2.9</v>
      </c>
      <c r="C19" s="31" t="n">
        <v>116345</v>
      </c>
      <c r="D19" s="26" t="n">
        <f aca="false">C19/$C$20</f>
        <v>0.314960949660932</v>
      </c>
      <c r="E19" s="17"/>
      <c r="F19" s="12" t="s">
        <v>413</v>
      </c>
    </row>
    <row r="20" customFormat="false" ht="15" hidden="false" customHeight="false" outlineLevel="0" collapsed="false">
      <c r="A20" s="19" t="s">
        <v>414</v>
      </c>
      <c r="B20" s="33"/>
      <c r="C20" s="37" t="n">
        <f aca="false">SUM(C15:C19)</f>
        <v>369395</v>
      </c>
      <c r="D20" s="30" t="n">
        <f aca="false">SUM(D15:D19)</f>
        <v>1</v>
      </c>
      <c r="E20" s="33"/>
      <c r="F20" s="24" t="s">
        <v>271</v>
      </c>
    </row>
    <row r="21" customFormat="false" ht="15" hidden="false" customHeight="false" outlineLevel="0" collapsed="false">
      <c r="A21" s="7" t="s">
        <v>415</v>
      </c>
      <c r="B21" s="14" t="n">
        <v>11.1</v>
      </c>
      <c r="C21" s="6"/>
      <c r="D21" s="6"/>
      <c r="E21" s="6"/>
      <c r="F21" s="12" t="s">
        <v>416</v>
      </c>
    </row>
    <row r="22" customFormat="false" ht="15" hidden="false" customHeight="false" outlineLevel="0" collapsed="false">
      <c r="A22" s="6" t="s">
        <v>417</v>
      </c>
      <c r="B22" s="14" t="n">
        <v>14</v>
      </c>
      <c r="C22" s="6"/>
      <c r="D22" s="6"/>
      <c r="E22" s="6"/>
      <c r="F22" s="12" t="s">
        <v>418</v>
      </c>
    </row>
    <row r="23" customFormat="false" ht="22.35" hidden="false" customHeight="false" outlineLevel="0" collapsed="false">
      <c r="A23" s="19" t="s">
        <v>419</v>
      </c>
      <c r="B23" s="30" t="n">
        <f aca="false">B21/B22-1</f>
        <v>-0.207142857142857</v>
      </c>
      <c r="C23" s="33"/>
      <c r="D23" s="33"/>
      <c r="E23" s="33"/>
      <c r="F23" s="24" t="s">
        <v>420</v>
      </c>
    </row>
    <row r="24" customFormat="false" ht="15" hidden="false" customHeight="false" outlineLevel="0" collapsed="false">
      <c r="A24" s="19" t="s">
        <v>421</v>
      </c>
      <c r="B24" s="38" t="n">
        <f aca="false">B15/B19</f>
        <v>9.86206896551724</v>
      </c>
      <c r="C24" s="33"/>
      <c r="D24" s="33"/>
      <c r="E24" s="33"/>
      <c r="F24" s="24" t="s">
        <v>422</v>
      </c>
    </row>
    <row r="26" customFormat="false" ht="15" hidden="false" customHeight="false" outlineLevel="0" collapsed="false">
      <c r="A26" s="3" t="s">
        <v>423</v>
      </c>
    </row>
    <row r="27" customFormat="false" ht="30" hidden="false" customHeight="true" outlineLevel="0" collapsed="false">
      <c r="A27" s="5" t="s">
        <v>136</v>
      </c>
      <c r="B27" s="5" t="s">
        <v>74</v>
      </c>
      <c r="C27" s="5" t="s">
        <v>75</v>
      </c>
      <c r="D27" s="5"/>
      <c r="E27" s="5"/>
      <c r="F27" s="5" t="s">
        <v>162</v>
      </c>
    </row>
    <row r="28" customFormat="false" ht="23.85" hidden="false" customHeight="false" outlineLevel="0" collapsed="false">
      <c r="A28" s="7" t="s">
        <v>424</v>
      </c>
      <c r="B28" s="31" t="n">
        <v>2200000</v>
      </c>
      <c r="C28" s="6" t="s">
        <v>391</v>
      </c>
      <c r="D28" s="6"/>
      <c r="E28" s="6"/>
      <c r="F28" s="12" t="s">
        <v>425</v>
      </c>
    </row>
    <row r="29" customFormat="false" ht="15" hidden="false" customHeight="false" outlineLevel="0" collapsed="false">
      <c r="A29" s="7" t="s">
        <v>426</v>
      </c>
      <c r="B29" s="31" t="n">
        <v>50000</v>
      </c>
      <c r="C29" s="6" t="s">
        <v>386</v>
      </c>
      <c r="D29" s="6"/>
      <c r="E29" s="6"/>
      <c r="F29" s="12" t="s">
        <v>427</v>
      </c>
    </row>
    <row r="30" customFormat="false" ht="15" hidden="false" customHeight="false" outlineLevel="0" collapsed="false">
      <c r="A30" s="7" t="s">
        <v>428</v>
      </c>
      <c r="B30" s="31" t="n">
        <v>800000</v>
      </c>
      <c r="C30" s="6" t="s">
        <v>391</v>
      </c>
      <c r="D30" s="6"/>
      <c r="E30" s="6"/>
      <c r="F30" s="12" t="s">
        <v>429</v>
      </c>
    </row>
    <row r="31" customFormat="false" ht="15" hidden="false" customHeight="false" outlineLevel="0" collapsed="false">
      <c r="A31" s="7" t="s">
        <v>430</v>
      </c>
      <c r="B31" s="31" t="n">
        <v>17544</v>
      </c>
      <c r="C31" s="6" t="s">
        <v>386</v>
      </c>
      <c r="D31" s="6"/>
      <c r="E31" s="6"/>
      <c r="F31" s="12" t="s">
        <v>431</v>
      </c>
    </row>
    <row r="32" customFormat="false" ht="15" hidden="false" customHeight="false" outlineLevel="0" collapsed="false">
      <c r="A32" s="7" t="s">
        <v>432</v>
      </c>
      <c r="B32" s="17" t="n">
        <v>0.81</v>
      </c>
      <c r="C32" s="6" t="s">
        <v>91</v>
      </c>
      <c r="D32" s="6"/>
      <c r="E32" s="6"/>
      <c r="F32" s="12" t="s">
        <v>433</v>
      </c>
    </row>
    <row r="33" customFormat="false" ht="15" hidden="false" customHeight="false" outlineLevel="0" collapsed="false">
      <c r="A33" s="7" t="s">
        <v>434</v>
      </c>
      <c r="B33" s="17" t="n">
        <v>0.15</v>
      </c>
      <c r="C33" s="6" t="s">
        <v>91</v>
      </c>
      <c r="D33" s="6"/>
      <c r="E33" s="6"/>
      <c r="F33" s="12" t="s">
        <v>433</v>
      </c>
    </row>
    <row r="34" customFormat="false" ht="15" hidden="false" customHeight="false" outlineLevel="0" collapsed="false">
      <c r="A34" s="7" t="s">
        <v>435</v>
      </c>
      <c r="B34" s="17" t="n">
        <v>0.33</v>
      </c>
      <c r="C34" s="6" t="s">
        <v>91</v>
      </c>
      <c r="D34" s="6"/>
      <c r="E34" s="6"/>
      <c r="F34" s="12" t="s">
        <v>436</v>
      </c>
    </row>
    <row r="35" customFormat="false" ht="15" hidden="false" customHeight="false" outlineLevel="0" collapsed="false">
      <c r="A35" s="7" t="s">
        <v>437</v>
      </c>
      <c r="B35" s="17" t="n">
        <v>0.194</v>
      </c>
      <c r="C35" s="6" t="s">
        <v>91</v>
      </c>
      <c r="D35" s="6"/>
      <c r="E35" s="6"/>
      <c r="F35" s="12" t="s">
        <v>438</v>
      </c>
    </row>
    <row r="36" customFormat="false" ht="15" hidden="false" customHeight="false" outlineLevel="0" collapsed="false">
      <c r="A36" s="7" t="s">
        <v>439</v>
      </c>
      <c r="B36" s="31" t="n">
        <v>53</v>
      </c>
      <c r="C36" s="6" t="s">
        <v>440</v>
      </c>
      <c r="D36" s="6"/>
      <c r="E36" s="6"/>
      <c r="F36" s="12" t="s">
        <v>441</v>
      </c>
    </row>
    <row r="37" customFormat="false" ht="15" hidden="false" customHeight="false" outlineLevel="0" collapsed="false">
      <c r="A37" s="7" t="s">
        <v>442</v>
      </c>
      <c r="B37" s="31" t="n">
        <v>452</v>
      </c>
      <c r="C37" s="6" t="s">
        <v>78</v>
      </c>
      <c r="D37" s="6"/>
      <c r="E37" s="6"/>
      <c r="F37" s="12" t="s">
        <v>443</v>
      </c>
    </row>
    <row r="38" customFormat="false" ht="15" hidden="false" customHeight="false" outlineLevel="0" collapsed="false">
      <c r="A38" s="7" t="s">
        <v>444</v>
      </c>
      <c r="B38" s="31" t="n">
        <v>260000</v>
      </c>
      <c r="C38" s="6" t="s">
        <v>386</v>
      </c>
      <c r="D38" s="6"/>
      <c r="E38" s="6"/>
      <c r="F38" s="12" t="s">
        <v>445</v>
      </c>
    </row>
    <row r="39" customFormat="false" ht="15" hidden="false" customHeight="false" outlineLevel="0" collapsed="false">
      <c r="A39" s="7" t="s">
        <v>446</v>
      </c>
      <c r="B39" s="14" t="n">
        <v>2.6</v>
      </c>
      <c r="C39" s="6" t="s">
        <v>78</v>
      </c>
      <c r="D39" s="6"/>
      <c r="E39" s="6"/>
      <c r="F39" s="12" t="s">
        <v>441</v>
      </c>
    </row>
    <row r="40" customFormat="false" ht="15" hidden="false" customHeight="false" outlineLevel="0" collapsed="false">
      <c r="A40" s="7" t="s">
        <v>447</v>
      </c>
      <c r="B40" s="31" t="n">
        <v>860</v>
      </c>
      <c r="C40" s="6" t="s">
        <v>386</v>
      </c>
      <c r="D40" s="6"/>
      <c r="E40" s="6"/>
      <c r="F40" s="12" t="s">
        <v>448</v>
      </c>
    </row>
    <row r="41" customFormat="false" ht="15" hidden="false" customHeight="false" outlineLevel="0" collapsed="false">
      <c r="A41" s="7" t="s">
        <v>449</v>
      </c>
      <c r="B41" s="31" t="n">
        <v>850</v>
      </c>
      <c r="C41" s="6" t="s">
        <v>450</v>
      </c>
      <c r="D41" s="6"/>
      <c r="E41" s="6"/>
      <c r="F41" s="12" t="s">
        <v>448</v>
      </c>
    </row>
    <row r="42" customFormat="false" ht="22.35" hidden="false" customHeight="false" outlineLevel="0" collapsed="false">
      <c r="A42" s="7" t="s">
        <v>451</v>
      </c>
      <c r="B42" s="39" t="n">
        <f aca="false">B39*1000000000/B38</f>
        <v>10000</v>
      </c>
      <c r="C42" s="6" t="s">
        <v>452</v>
      </c>
      <c r="D42" s="6"/>
      <c r="E42" s="6"/>
      <c r="F42" s="12" t="s">
        <v>453</v>
      </c>
    </row>
    <row r="44" customFormat="false" ht="15" hidden="false" customHeight="false" outlineLevel="0" collapsed="false">
      <c r="A44" s="3" t="s">
        <v>454</v>
      </c>
    </row>
    <row r="45" customFormat="false" ht="30" hidden="false" customHeight="true" outlineLevel="0" collapsed="false">
      <c r="A45" s="5" t="s">
        <v>136</v>
      </c>
      <c r="B45" s="5" t="s">
        <v>74</v>
      </c>
      <c r="C45" s="5" t="s">
        <v>75</v>
      </c>
      <c r="D45" s="5" t="s">
        <v>196</v>
      </c>
      <c r="E45" s="5"/>
      <c r="F45" s="5" t="s">
        <v>162</v>
      </c>
    </row>
    <row r="46" customFormat="false" ht="15" hidden="false" customHeight="false" outlineLevel="0" collapsed="false">
      <c r="A46" s="7" t="s">
        <v>455</v>
      </c>
      <c r="B46" s="31" t="n">
        <v>140</v>
      </c>
      <c r="C46" s="6" t="s">
        <v>456</v>
      </c>
      <c r="D46" s="12" t="s">
        <v>457</v>
      </c>
      <c r="E46" s="6"/>
      <c r="F46" s="12" t="s">
        <v>458</v>
      </c>
    </row>
    <row r="47" customFormat="false" ht="15" hidden="false" customHeight="false" outlineLevel="0" collapsed="false">
      <c r="A47" s="7" t="s">
        <v>459</v>
      </c>
      <c r="B47" s="31" t="n">
        <v>127</v>
      </c>
      <c r="C47" s="6" t="s">
        <v>456</v>
      </c>
      <c r="D47" s="12" t="s">
        <v>460</v>
      </c>
      <c r="E47" s="6"/>
      <c r="F47" s="12" t="s">
        <v>458</v>
      </c>
    </row>
    <row r="48" customFormat="false" ht="15" hidden="false" customHeight="false" outlineLevel="0" collapsed="false">
      <c r="A48" s="7" t="s">
        <v>461</v>
      </c>
      <c r="B48" s="31" t="n">
        <v>88</v>
      </c>
      <c r="C48" s="6" t="s">
        <v>462</v>
      </c>
      <c r="D48" s="12" t="s">
        <v>463</v>
      </c>
      <c r="E48" s="6"/>
      <c r="F48" s="12" t="s">
        <v>458</v>
      </c>
    </row>
    <row r="49" customFormat="false" ht="15" hidden="false" customHeight="false" outlineLevel="0" collapsed="false">
      <c r="A49" s="7" t="s">
        <v>464</v>
      </c>
      <c r="B49" s="31" t="n">
        <v>82</v>
      </c>
      <c r="C49" s="6" t="s">
        <v>462</v>
      </c>
      <c r="D49" s="12" t="s">
        <v>465</v>
      </c>
      <c r="E49" s="6"/>
      <c r="F49" s="12" t="s">
        <v>458</v>
      </c>
    </row>
    <row r="50" customFormat="false" ht="15" hidden="false" customHeight="false" outlineLevel="0" collapsed="false">
      <c r="A50" s="7" t="s">
        <v>466</v>
      </c>
      <c r="B50" s="31" t="n">
        <v>322</v>
      </c>
      <c r="C50" s="6" t="s">
        <v>467</v>
      </c>
      <c r="D50" s="12" t="s">
        <v>465</v>
      </c>
      <c r="E50" s="6"/>
      <c r="F50" s="12" t="s">
        <v>468</v>
      </c>
    </row>
    <row r="51" customFormat="false" ht="64.15" hidden="false" customHeight="false" outlineLevel="0" collapsed="false">
      <c r="A51" s="4" t="s">
        <v>469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8"/>
    <col collapsed="false" customWidth="true" hidden="false" outlineLevel="0" max="3" min="3" style="0" width="12"/>
    <col collapsed="false" customWidth="true" hidden="false" outlineLevel="0" max="4" min="4" style="0" width="20"/>
    <col collapsed="false" customWidth="true" hidden="false" outlineLevel="0" max="5" min="5" style="0" width="52"/>
  </cols>
  <sheetData>
    <row r="1" customFormat="false" ht="21.75" hidden="false" customHeight="true" outlineLevel="0" collapsed="false">
      <c r="A1" s="1" t="s">
        <v>470</v>
      </c>
    </row>
    <row r="2" customFormat="false" ht="15" hidden="false" customHeight="false" outlineLevel="0" collapsed="false">
      <c r="A2" s="2" t="s">
        <v>471</v>
      </c>
    </row>
    <row r="4" customFormat="false" ht="15" hidden="false" customHeight="false" outlineLevel="0" collapsed="false">
      <c r="A4" s="3" t="s">
        <v>472</v>
      </c>
    </row>
    <row r="5" customFormat="false" ht="30" hidden="false" customHeight="true" outlineLevel="0" collapsed="false">
      <c r="A5" s="5" t="s">
        <v>233</v>
      </c>
      <c r="B5" s="5" t="s">
        <v>74</v>
      </c>
      <c r="C5" s="5" t="s">
        <v>75</v>
      </c>
      <c r="D5" s="5" t="s">
        <v>473</v>
      </c>
      <c r="E5" s="5" t="s">
        <v>137</v>
      </c>
    </row>
    <row r="6" customFormat="false" ht="15" hidden="false" customHeight="false" outlineLevel="0" collapsed="false">
      <c r="A6" s="7" t="s">
        <v>474</v>
      </c>
      <c r="B6" s="31" t="n">
        <v>9200000</v>
      </c>
      <c r="C6" s="6" t="s">
        <v>386</v>
      </c>
      <c r="D6" s="12" t="s">
        <v>475</v>
      </c>
      <c r="E6" s="12" t="s">
        <v>476</v>
      </c>
    </row>
    <row r="7" customFormat="false" ht="15" hidden="false" customHeight="false" outlineLevel="0" collapsed="false">
      <c r="A7" s="6" t="s">
        <v>477</v>
      </c>
      <c r="B7" s="40" t="n">
        <v>4700</v>
      </c>
      <c r="C7" s="6" t="s">
        <v>452</v>
      </c>
      <c r="D7" s="12" t="s">
        <v>448</v>
      </c>
      <c r="E7" s="12" t="s">
        <v>478</v>
      </c>
    </row>
    <row r="8" customFormat="false" ht="15" hidden="false" customHeight="false" outlineLevel="0" collapsed="false">
      <c r="A8" s="6" t="s">
        <v>479</v>
      </c>
      <c r="B8" s="40" t="n">
        <v>6930</v>
      </c>
      <c r="C8" s="6" t="s">
        <v>452</v>
      </c>
      <c r="D8" s="12" t="s">
        <v>448</v>
      </c>
      <c r="E8" s="12" t="s">
        <v>480</v>
      </c>
    </row>
    <row r="9" customFormat="false" ht="15" hidden="false" customHeight="false" outlineLevel="0" collapsed="false">
      <c r="A9" s="7" t="s">
        <v>481</v>
      </c>
      <c r="B9" s="15" t="n">
        <f aca="false">B6*B7/1000000000</f>
        <v>43.24</v>
      </c>
      <c r="C9" s="6" t="s">
        <v>78</v>
      </c>
      <c r="D9" s="12" t="s">
        <v>193</v>
      </c>
      <c r="E9" s="12" t="s">
        <v>482</v>
      </c>
    </row>
    <row r="10" customFormat="false" ht="15" hidden="false" customHeight="false" outlineLevel="0" collapsed="false">
      <c r="A10" s="7" t="s">
        <v>483</v>
      </c>
      <c r="B10" s="15" t="n">
        <f aca="false">B6*B8/1000000000</f>
        <v>63.756</v>
      </c>
      <c r="C10" s="6" t="s">
        <v>78</v>
      </c>
      <c r="D10" s="12" t="s">
        <v>193</v>
      </c>
      <c r="E10" s="12"/>
    </row>
    <row r="11" customFormat="false" ht="15" hidden="false" customHeight="false" outlineLevel="0" collapsed="false">
      <c r="A11" s="6" t="s">
        <v>484</v>
      </c>
      <c r="B11" s="14" t="n">
        <v>15</v>
      </c>
      <c r="C11" s="6" t="s">
        <v>78</v>
      </c>
      <c r="D11" s="12" t="s">
        <v>255</v>
      </c>
      <c r="E11" s="12" t="s">
        <v>485</v>
      </c>
    </row>
    <row r="12" customFormat="false" ht="15" hidden="false" customHeight="false" outlineLevel="0" collapsed="false">
      <c r="A12" s="19" t="s">
        <v>486</v>
      </c>
      <c r="B12" s="25" t="n">
        <f aca="false">AVERAGE(B9:B10)-B11</f>
        <v>38.498</v>
      </c>
      <c r="C12" s="33" t="s">
        <v>78</v>
      </c>
      <c r="D12" s="24" t="s">
        <v>193</v>
      </c>
      <c r="E12" s="24" t="s">
        <v>487</v>
      </c>
    </row>
    <row r="13" customFormat="false" ht="15" hidden="false" customHeight="false" outlineLevel="0" collapsed="false">
      <c r="A13" s="7" t="s">
        <v>488</v>
      </c>
      <c r="B13" s="6"/>
      <c r="C13" s="6"/>
      <c r="D13" s="7" t="s">
        <v>489</v>
      </c>
      <c r="E13" s="12" t="s">
        <v>490</v>
      </c>
    </row>
    <row r="14" customFormat="false" ht="15" hidden="false" customHeight="false" outlineLevel="0" collapsed="false">
      <c r="A14" s="7" t="s">
        <v>491</v>
      </c>
      <c r="B14" s="6"/>
      <c r="C14" s="6"/>
      <c r="D14" s="7" t="s">
        <v>492</v>
      </c>
      <c r="E14" s="12" t="s">
        <v>493</v>
      </c>
    </row>
    <row r="15" customFormat="false" ht="23.85" hidden="false" customHeight="false" outlineLevel="0" collapsed="false">
      <c r="A15" s="7" t="s">
        <v>494</v>
      </c>
      <c r="B15" s="6"/>
      <c r="C15" s="6"/>
      <c r="D15" s="41" t="s">
        <v>495</v>
      </c>
      <c r="E15" s="12" t="s">
        <v>496</v>
      </c>
    </row>
    <row r="17" customFormat="false" ht="15" hidden="false" customHeight="false" outlineLevel="0" collapsed="false">
      <c r="A17" s="3" t="s">
        <v>130</v>
      </c>
    </row>
    <row r="18" customFormat="false" ht="30" hidden="false" customHeight="true" outlineLevel="0" collapsed="false">
      <c r="A18" s="5" t="s">
        <v>233</v>
      </c>
      <c r="B18" s="5" t="s">
        <v>74</v>
      </c>
      <c r="C18" s="5" t="s">
        <v>75</v>
      </c>
      <c r="D18" s="5" t="s">
        <v>473</v>
      </c>
      <c r="E18" s="5" t="s">
        <v>137</v>
      </c>
    </row>
    <row r="19" customFormat="false" ht="15" hidden="false" customHeight="false" outlineLevel="0" collapsed="false">
      <c r="A19" s="7" t="s">
        <v>497</v>
      </c>
      <c r="B19" s="31" t="n">
        <v>4</v>
      </c>
      <c r="C19" s="6" t="s">
        <v>498</v>
      </c>
      <c r="D19" s="7" t="s">
        <v>499</v>
      </c>
      <c r="E19" s="12" t="s">
        <v>500</v>
      </c>
    </row>
    <row r="20" customFormat="false" ht="15" hidden="false" customHeight="false" outlineLevel="0" collapsed="false">
      <c r="A20" s="7" t="s">
        <v>501</v>
      </c>
      <c r="B20" s="8"/>
      <c r="C20" s="6"/>
      <c r="D20" s="7" t="s">
        <v>502</v>
      </c>
      <c r="E20" s="12" t="s">
        <v>503</v>
      </c>
    </row>
    <row r="21" customFormat="false" ht="15" hidden="false" customHeight="false" outlineLevel="0" collapsed="false">
      <c r="A21" s="7" t="s">
        <v>504</v>
      </c>
      <c r="B21" s="8"/>
      <c r="C21" s="6"/>
      <c r="D21" s="7" t="s">
        <v>505</v>
      </c>
      <c r="E21" s="12" t="s">
        <v>506</v>
      </c>
    </row>
    <row r="22" customFormat="false" ht="23.85" hidden="false" customHeight="false" outlineLevel="0" collapsed="false">
      <c r="A22" s="7" t="s">
        <v>507</v>
      </c>
      <c r="B22" s="8"/>
      <c r="C22" s="6"/>
      <c r="D22" s="7" t="s">
        <v>508</v>
      </c>
      <c r="E22" s="12" t="s">
        <v>509</v>
      </c>
    </row>
    <row r="23" customFormat="false" ht="15" hidden="false" customHeight="false" outlineLevel="0" collapsed="false">
      <c r="A23" s="7" t="s">
        <v>510</v>
      </c>
      <c r="B23" s="8"/>
      <c r="C23" s="6"/>
      <c r="D23" s="7" t="s">
        <v>511</v>
      </c>
      <c r="E23" s="12" t="s">
        <v>512</v>
      </c>
    </row>
    <row r="24" customFormat="false" ht="15" hidden="false" customHeight="false" outlineLevel="0" collapsed="false">
      <c r="A24" s="7" t="s">
        <v>513</v>
      </c>
      <c r="B24" s="31" t="n">
        <v>50</v>
      </c>
      <c r="C24" s="6" t="s">
        <v>317</v>
      </c>
      <c r="D24" s="7" t="s">
        <v>514</v>
      </c>
      <c r="E24" s="12" t="s">
        <v>515</v>
      </c>
    </row>
    <row r="25" customFormat="false" ht="15" hidden="false" customHeight="false" outlineLevel="0" collapsed="false">
      <c r="A25" s="7" t="s">
        <v>516</v>
      </c>
      <c r="B25" s="14" t="n">
        <v>3.5</v>
      </c>
      <c r="C25" s="6" t="s">
        <v>84</v>
      </c>
      <c r="D25" s="7" t="s">
        <v>517</v>
      </c>
      <c r="E25" s="12" t="s">
        <v>518</v>
      </c>
    </row>
    <row r="26" customFormat="false" ht="15" hidden="false" customHeight="false" outlineLevel="0" collapsed="false">
      <c r="A26" s="7" t="s">
        <v>519</v>
      </c>
      <c r="B26" s="40" t="n">
        <v>305</v>
      </c>
      <c r="C26" s="6" t="s">
        <v>520</v>
      </c>
      <c r="D26" s="7" t="s">
        <v>521</v>
      </c>
      <c r="E26" s="12"/>
    </row>
    <row r="27" customFormat="false" ht="15" hidden="false" customHeight="false" outlineLevel="0" collapsed="false">
      <c r="A27" s="7" t="s">
        <v>522</v>
      </c>
      <c r="B27" s="40" t="n">
        <v>3570</v>
      </c>
      <c r="C27" s="6" t="s">
        <v>520</v>
      </c>
      <c r="D27" s="7" t="s">
        <v>521</v>
      </c>
      <c r="E27" s="12" t="s">
        <v>523</v>
      </c>
    </row>
    <row r="28" customFormat="false" ht="64.15" hidden="false" customHeight="false" outlineLevel="0" collapsed="false">
      <c r="A28" s="4" t="s">
        <v>524</v>
      </c>
    </row>
    <row r="31" customFormat="false" ht="15" hidden="false" customHeight="false" outlineLevel="0" collapsed="false">
      <c r="A31" s="3" t="s">
        <v>525</v>
      </c>
    </row>
    <row r="32" customFormat="false" ht="30" hidden="false" customHeight="true" outlineLevel="0" collapsed="false">
      <c r="A32" s="5" t="s">
        <v>103</v>
      </c>
      <c r="B32" s="5" t="s">
        <v>526</v>
      </c>
      <c r="C32" s="5" t="s">
        <v>75</v>
      </c>
      <c r="D32" s="5" t="s">
        <v>527</v>
      </c>
      <c r="E32" s="5" t="s">
        <v>137</v>
      </c>
    </row>
    <row r="33" customFormat="false" ht="22.35" hidden="false" customHeight="false" outlineLevel="0" collapsed="false">
      <c r="A33" s="7" t="s">
        <v>528</v>
      </c>
      <c r="B33" s="31" t="n">
        <v>860</v>
      </c>
      <c r="C33" s="6" t="s">
        <v>529</v>
      </c>
      <c r="D33" s="12" t="s">
        <v>530</v>
      </c>
      <c r="E33" s="12" t="s">
        <v>531</v>
      </c>
    </row>
    <row r="34" customFormat="false" ht="15" hidden="false" customHeight="false" outlineLevel="0" collapsed="false">
      <c r="A34" s="7" t="s">
        <v>449</v>
      </c>
      <c r="B34" s="31" t="n">
        <v>850</v>
      </c>
      <c r="C34" s="6" t="s">
        <v>532</v>
      </c>
      <c r="D34" s="12" t="s">
        <v>448</v>
      </c>
      <c r="E34" s="12" t="s">
        <v>533</v>
      </c>
    </row>
    <row r="35" customFormat="false" ht="15" hidden="false" customHeight="false" outlineLevel="0" collapsed="false">
      <c r="A35" s="7" t="s">
        <v>534</v>
      </c>
      <c r="B35" s="31" t="n">
        <v>40</v>
      </c>
      <c r="C35" s="6" t="s">
        <v>535</v>
      </c>
      <c r="D35" s="12" t="s">
        <v>536</v>
      </c>
      <c r="E35" s="12" t="s">
        <v>537</v>
      </c>
    </row>
    <row r="36" customFormat="false" ht="15" hidden="false" customHeight="false" outlineLevel="0" collapsed="false">
      <c r="A36" s="7" t="s">
        <v>538</v>
      </c>
      <c r="B36" s="31" t="n">
        <v>18</v>
      </c>
      <c r="C36" s="6" t="s">
        <v>532</v>
      </c>
      <c r="D36" s="12" t="s">
        <v>539</v>
      </c>
      <c r="E36" s="12" t="s">
        <v>540</v>
      </c>
    </row>
    <row r="37" customFormat="false" ht="15" hidden="false" customHeight="false" outlineLevel="0" collapsed="false">
      <c r="A37" s="7" t="s">
        <v>541</v>
      </c>
      <c r="B37" s="31" t="n">
        <v>85</v>
      </c>
      <c r="C37" s="6" t="s">
        <v>532</v>
      </c>
      <c r="D37" s="12" t="s">
        <v>539</v>
      </c>
      <c r="E37" s="12" t="s">
        <v>542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6" min="2" style="0" width="14"/>
    <col collapsed="false" customWidth="true" hidden="false" outlineLevel="0" max="7" min="7" style="0" width="34"/>
  </cols>
  <sheetData>
    <row r="1" customFormat="false" ht="21.75" hidden="false" customHeight="true" outlineLevel="0" collapsed="false">
      <c r="A1" s="1" t="s">
        <v>543</v>
      </c>
    </row>
    <row r="2" customFormat="false" ht="15" hidden="false" customHeight="false" outlineLevel="0" collapsed="false">
      <c r="A2" s="2" t="s">
        <v>544</v>
      </c>
    </row>
    <row r="4" customFormat="false" ht="15" hidden="false" customHeight="false" outlineLevel="0" collapsed="false">
      <c r="A4" s="3" t="s">
        <v>545</v>
      </c>
    </row>
    <row r="5" customFormat="false" ht="30" hidden="false" customHeight="true" outlineLevel="0" collapsed="false">
      <c r="A5" s="5" t="s">
        <v>546</v>
      </c>
      <c r="B5" s="5" t="s">
        <v>547</v>
      </c>
      <c r="C5" s="5" t="s">
        <v>548</v>
      </c>
      <c r="D5" s="5" t="s">
        <v>549</v>
      </c>
      <c r="E5" s="5" t="s">
        <v>550</v>
      </c>
      <c r="F5" s="5" t="s">
        <v>551</v>
      </c>
      <c r="G5" s="5" t="s">
        <v>137</v>
      </c>
    </row>
    <row r="6" customFormat="false" ht="15" hidden="false" customHeight="false" outlineLevel="0" collapsed="false">
      <c r="A6" s="7" t="s">
        <v>552</v>
      </c>
      <c r="B6" s="31" t="n">
        <v>5004</v>
      </c>
      <c r="C6" s="31" t="n">
        <v>6651</v>
      </c>
      <c r="D6" s="31" t="n">
        <v>6702</v>
      </c>
      <c r="E6" s="31" t="n">
        <v>7441</v>
      </c>
      <c r="F6" s="31" t="n">
        <v>7647</v>
      </c>
      <c r="G6" s="12" t="s">
        <v>553</v>
      </c>
    </row>
    <row r="7" customFormat="false" ht="15" hidden="false" customHeight="false" outlineLevel="0" collapsed="false">
      <c r="A7" s="6" t="s">
        <v>554</v>
      </c>
      <c r="B7" s="26"/>
      <c r="C7" s="26" t="n">
        <f aca="false">C6/B6-1</f>
        <v>0.329136690647482</v>
      </c>
      <c r="D7" s="26" t="n">
        <f aca="false">D6/C6-1</f>
        <v>0.00766801984663967</v>
      </c>
      <c r="E7" s="26" t="n">
        <f aca="false">E6/D6-1</f>
        <v>0.110265592360489</v>
      </c>
      <c r="F7" s="26" t="n">
        <f aca="false">F6/E6-1</f>
        <v>0.0276844510146486</v>
      </c>
      <c r="G7" s="12" t="s">
        <v>271</v>
      </c>
    </row>
    <row r="8" customFormat="false" ht="15" hidden="false" customHeight="false" outlineLevel="0" collapsed="false">
      <c r="A8" s="7" t="s">
        <v>555</v>
      </c>
      <c r="B8" s="31" t="n">
        <v>1280</v>
      </c>
      <c r="C8" s="31" t="n">
        <v>1795</v>
      </c>
      <c r="D8" s="31" t="n">
        <v>1818</v>
      </c>
      <c r="E8" s="31" t="n">
        <v>1980</v>
      </c>
      <c r="F8" s="31" t="n">
        <v>2059</v>
      </c>
      <c r="G8" s="12" t="s">
        <v>556</v>
      </c>
    </row>
    <row r="9" customFormat="false" ht="15" hidden="false" customHeight="false" outlineLevel="0" collapsed="false">
      <c r="A9" s="6" t="s">
        <v>557</v>
      </c>
      <c r="B9" s="26" t="n">
        <f aca="false">B8/B6</f>
        <v>0.255795363709033</v>
      </c>
      <c r="C9" s="26" t="n">
        <f aca="false">C8/C6</f>
        <v>0.269884227935649</v>
      </c>
      <c r="D9" s="26" t="n">
        <f aca="false">D8/D6</f>
        <v>0.271262309758281</v>
      </c>
      <c r="E9" s="26" t="n">
        <f aca="false">E8/E6</f>
        <v>0.266093267034001</v>
      </c>
      <c r="F9" s="26" t="n">
        <f aca="false">F8/F6</f>
        <v>0.26925591735321</v>
      </c>
      <c r="G9" s="12" t="s">
        <v>271</v>
      </c>
    </row>
    <row r="10" customFormat="false" ht="22.35" hidden="false" customHeight="false" outlineLevel="0" collapsed="false">
      <c r="A10" s="7" t="s">
        <v>558</v>
      </c>
      <c r="B10" s="31" t="n">
        <v>604</v>
      </c>
      <c r="C10" s="31" t="n">
        <v>918</v>
      </c>
      <c r="D10" s="31" t="n">
        <v>889</v>
      </c>
      <c r="E10" s="31" t="n">
        <v>905</v>
      </c>
      <c r="F10" s="31" t="n">
        <v>913</v>
      </c>
      <c r="G10" s="12" t="s">
        <v>559</v>
      </c>
    </row>
    <row r="11" customFormat="false" ht="15" hidden="false" customHeight="false" outlineLevel="0" collapsed="false">
      <c r="A11" s="6" t="s">
        <v>560</v>
      </c>
      <c r="B11" s="26" t="n">
        <f aca="false">B10/B6</f>
        <v>0.1207034372502</v>
      </c>
      <c r="C11" s="26" t="n">
        <f aca="false">C10/C6</f>
        <v>0.138024357239513</v>
      </c>
      <c r="D11" s="26" t="n">
        <f aca="false">D10/D6</f>
        <v>0.132646971053417</v>
      </c>
      <c r="E11" s="26" t="n">
        <f aca="false">E10/E6</f>
        <v>0.121623437709985</v>
      </c>
      <c r="F11" s="26" t="n">
        <f aca="false">F10/F6</f>
        <v>0.119393226101739</v>
      </c>
      <c r="G11" s="12" t="s">
        <v>271</v>
      </c>
    </row>
    <row r="12" customFormat="false" ht="15" hidden="false" customHeight="false" outlineLevel="0" collapsed="false">
      <c r="A12" s="7" t="s">
        <v>561</v>
      </c>
      <c r="B12" s="31" t="n">
        <v>425</v>
      </c>
      <c r="C12" s="31" t="n">
        <v>775</v>
      </c>
      <c r="D12" s="31" t="n">
        <v>740</v>
      </c>
      <c r="E12" s="31" t="n">
        <v>719</v>
      </c>
      <c r="F12" s="31" t="n">
        <v>722</v>
      </c>
      <c r="G12" s="12" t="s">
        <v>556</v>
      </c>
    </row>
    <row r="13" customFormat="false" ht="15" hidden="false" customHeight="false" outlineLevel="0" collapsed="false">
      <c r="A13" s="7" t="s">
        <v>562</v>
      </c>
      <c r="B13" s="31" t="n">
        <v>225</v>
      </c>
      <c r="C13" s="31" t="n">
        <v>366</v>
      </c>
      <c r="D13" s="31" t="n">
        <v>371</v>
      </c>
      <c r="E13" s="31" t="n">
        <v>434</v>
      </c>
      <c r="F13" s="31" t="n">
        <v>462</v>
      </c>
      <c r="G13" s="12" t="s">
        <v>556</v>
      </c>
    </row>
    <row r="14" customFormat="false" ht="15" hidden="false" customHeight="false" outlineLevel="0" collapsed="false">
      <c r="A14" s="7" t="s">
        <v>563</v>
      </c>
      <c r="B14" s="42" t="n">
        <v>0.55</v>
      </c>
      <c r="C14" s="42" t="n">
        <v>2.13</v>
      </c>
      <c r="D14" s="42" t="n">
        <v>2.15</v>
      </c>
      <c r="E14" s="42" t="n">
        <v>2.13</v>
      </c>
      <c r="F14" s="42" t="n">
        <v>2.31</v>
      </c>
      <c r="G14" s="12" t="s">
        <v>556</v>
      </c>
    </row>
    <row r="15" customFormat="false" ht="15" hidden="false" customHeight="false" outlineLevel="0" collapsed="false">
      <c r="A15" s="7" t="s">
        <v>564</v>
      </c>
      <c r="B15" s="16" t="n">
        <f aca="false">(F6/B6)^(1/4)-1</f>
        <v>0.111842951695042</v>
      </c>
      <c r="C15" s="6"/>
      <c r="D15" s="6"/>
      <c r="E15" s="6"/>
      <c r="F15" s="6"/>
      <c r="G15" s="12" t="s">
        <v>565</v>
      </c>
    </row>
    <row r="17" customFormat="false" ht="15" hidden="false" customHeight="false" outlineLevel="0" collapsed="false">
      <c r="A17" s="3" t="s">
        <v>566</v>
      </c>
    </row>
    <row r="18" customFormat="false" ht="30" hidden="false" customHeight="true" outlineLevel="0" collapsed="false">
      <c r="A18" s="5" t="s">
        <v>567</v>
      </c>
      <c r="B18" s="5" t="s">
        <v>568</v>
      </c>
      <c r="C18" s="5" t="s">
        <v>569</v>
      </c>
      <c r="D18" s="5"/>
      <c r="E18" s="5"/>
      <c r="F18" s="5"/>
      <c r="G18" s="5" t="s">
        <v>162</v>
      </c>
    </row>
    <row r="19" customFormat="false" ht="15" hidden="false" customHeight="false" outlineLevel="0" collapsed="false">
      <c r="A19" s="7" t="s">
        <v>570</v>
      </c>
      <c r="B19" s="17" t="n">
        <v>0.44</v>
      </c>
      <c r="C19" s="27" t="n">
        <f aca="false">B19*$F$6</f>
        <v>3364.68</v>
      </c>
      <c r="D19" s="6"/>
      <c r="E19" s="6"/>
      <c r="F19" s="6"/>
      <c r="G19" s="12" t="s">
        <v>571</v>
      </c>
    </row>
    <row r="20" customFormat="false" ht="15" hidden="false" customHeight="false" outlineLevel="0" collapsed="false">
      <c r="A20" s="7" t="s">
        <v>572</v>
      </c>
      <c r="B20" s="17" t="n">
        <v>0.38</v>
      </c>
      <c r="C20" s="27" t="n">
        <f aca="false">B20*$F$6</f>
        <v>2905.86</v>
      </c>
      <c r="D20" s="6"/>
      <c r="E20" s="6"/>
      <c r="F20" s="6"/>
      <c r="G20" s="12" t="s">
        <v>571</v>
      </c>
    </row>
    <row r="21" customFormat="false" ht="15" hidden="false" customHeight="false" outlineLevel="0" collapsed="false">
      <c r="A21" s="7" t="s">
        <v>573</v>
      </c>
      <c r="B21" s="17" t="n">
        <v>0.18</v>
      </c>
      <c r="C21" s="27" t="n">
        <f aca="false">B21*$F$6</f>
        <v>1376.46</v>
      </c>
      <c r="D21" s="6"/>
      <c r="E21" s="6"/>
      <c r="F21" s="6"/>
      <c r="G21" s="12" t="s">
        <v>571</v>
      </c>
    </row>
    <row r="22" customFormat="false" ht="15" hidden="false" customHeight="false" outlineLevel="0" collapsed="false">
      <c r="A22" s="19" t="s">
        <v>574</v>
      </c>
      <c r="B22" s="30" t="n">
        <f aca="false">SUM(B19:B21)</f>
        <v>1</v>
      </c>
      <c r="C22" s="37" t="n">
        <f aca="false">SUM(C19:C21)</f>
        <v>7647</v>
      </c>
      <c r="D22" s="33"/>
      <c r="E22" s="33"/>
      <c r="F22" s="33"/>
      <c r="G22" s="24" t="s">
        <v>271</v>
      </c>
    </row>
    <row r="24" customFormat="false" ht="30" hidden="false" customHeight="true" outlineLevel="0" collapsed="false">
      <c r="A24" s="5" t="s">
        <v>575</v>
      </c>
      <c r="B24" s="5" t="s">
        <v>161</v>
      </c>
      <c r="C24" s="5"/>
      <c r="D24" s="5"/>
      <c r="E24" s="5"/>
      <c r="F24" s="5"/>
      <c r="G24" s="5" t="s">
        <v>162</v>
      </c>
    </row>
    <row r="25" customFormat="false" ht="15" hidden="false" customHeight="false" outlineLevel="0" collapsed="false">
      <c r="A25" s="7" t="s">
        <v>576</v>
      </c>
      <c r="B25" s="17" t="n">
        <v>0.5</v>
      </c>
      <c r="C25" s="6"/>
      <c r="D25" s="6"/>
      <c r="E25" s="6"/>
      <c r="F25" s="6"/>
      <c r="G25" s="12" t="s">
        <v>577</v>
      </c>
    </row>
    <row r="26" customFormat="false" ht="22.35" hidden="false" customHeight="false" outlineLevel="0" collapsed="false">
      <c r="A26" s="7" t="s">
        <v>578</v>
      </c>
      <c r="B26" s="17" t="n">
        <v>0.5</v>
      </c>
      <c r="C26" s="6"/>
      <c r="D26" s="6"/>
      <c r="E26" s="6"/>
      <c r="F26" s="6"/>
      <c r="G26" s="12" t="s">
        <v>579</v>
      </c>
    </row>
    <row r="28" customFormat="false" ht="15" hidden="false" customHeight="false" outlineLevel="0" collapsed="false">
      <c r="A28" s="3" t="s">
        <v>580</v>
      </c>
    </row>
    <row r="29" customFormat="false" ht="30" hidden="false" customHeight="true" outlineLevel="0" collapsed="false">
      <c r="A29" s="5" t="s">
        <v>136</v>
      </c>
      <c r="B29" s="5" t="s">
        <v>74</v>
      </c>
      <c r="C29" s="5" t="s">
        <v>75</v>
      </c>
      <c r="D29" s="5"/>
      <c r="E29" s="5"/>
      <c r="F29" s="5"/>
      <c r="G29" s="5" t="s">
        <v>162</v>
      </c>
    </row>
    <row r="30" customFormat="false" ht="15" hidden="false" customHeight="false" outlineLevel="0" collapsed="false">
      <c r="A30" s="7" t="s">
        <v>581</v>
      </c>
      <c r="B30" s="14" t="n">
        <v>39</v>
      </c>
      <c r="C30" s="6" t="s">
        <v>78</v>
      </c>
      <c r="D30" s="6"/>
      <c r="E30" s="6"/>
      <c r="F30" s="6"/>
      <c r="G30" s="12" t="s">
        <v>582</v>
      </c>
    </row>
    <row r="31" customFormat="false" ht="15" hidden="false" customHeight="false" outlineLevel="0" collapsed="false">
      <c r="A31" s="7" t="s">
        <v>583</v>
      </c>
      <c r="B31" s="17" t="n">
        <v>0.2</v>
      </c>
      <c r="C31" s="6" t="s">
        <v>91</v>
      </c>
      <c r="D31" s="6"/>
      <c r="E31" s="6"/>
      <c r="F31" s="6"/>
      <c r="G31" s="12" t="s">
        <v>584</v>
      </c>
    </row>
    <row r="32" customFormat="false" ht="15" hidden="false" customHeight="false" outlineLevel="0" collapsed="false">
      <c r="A32" s="7" t="s">
        <v>585</v>
      </c>
      <c r="B32" s="14" t="n">
        <v>44</v>
      </c>
      <c r="C32" s="6" t="s">
        <v>78</v>
      </c>
      <c r="D32" s="6"/>
      <c r="E32" s="6"/>
      <c r="F32" s="6"/>
      <c r="G32" s="12" t="s">
        <v>584</v>
      </c>
    </row>
    <row r="33" customFormat="false" ht="15" hidden="false" customHeight="false" outlineLevel="0" collapsed="false">
      <c r="A33" s="7" t="s">
        <v>586</v>
      </c>
      <c r="B33" s="17" t="n">
        <v>0.17</v>
      </c>
      <c r="C33" s="6" t="s">
        <v>91</v>
      </c>
      <c r="D33" s="6"/>
      <c r="E33" s="6"/>
      <c r="F33" s="6"/>
      <c r="G33" s="12" t="s">
        <v>584</v>
      </c>
    </row>
    <row r="34" customFormat="false" ht="15" hidden="false" customHeight="false" outlineLevel="0" collapsed="false">
      <c r="A34" s="7" t="s">
        <v>587</v>
      </c>
      <c r="B34" s="31" t="n">
        <v>370</v>
      </c>
      <c r="C34" s="6" t="s">
        <v>386</v>
      </c>
      <c r="D34" s="6"/>
      <c r="E34" s="6"/>
      <c r="F34" s="6"/>
      <c r="G34" s="12" t="s">
        <v>588</v>
      </c>
    </row>
    <row r="35" customFormat="false" ht="15" hidden="false" customHeight="false" outlineLevel="0" collapsed="false">
      <c r="A35" s="7" t="s">
        <v>589</v>
      </c>
      <c r="B35" s="31" t="n">
        <v>5600</v>
      </c>
      <c r="C35" s="6" t="s">
        <v>386</v>
      </c>
      <c r="D35" s="6"/>
      <c r="E35" s="6"/>
      <c r="F35" s="6"/>
      <c r="G35" s="12" t="s">
        <v>588</v>
      </c>
    </row>
    <row r="36" customFormat="false" ht="15" hidden="false" customHeight="false" outlineLevel="0" collapsed="false">
      <c r="A36" s="7" t="s">
        <v>590</v>
      </c>
      <c r="B36" s="31" t="n">
        <v>60000</v>
      </c>
      <c r="C36" s="6" t="s">
        <v>386</v>
      </c>
      <c r="D36" s="6"/>
      <c r="E36" s="6"/>
      <c r="F36" s="6"/>
      <c r="G36" s="12" t="s">
        <v>588</v>
      </c>
    </row>
    <row r="37" customFormat="false" ht="15" hidden="false" customHeight="false" outlineLevel="0" collapsed="false">
      <c r="A37" s="7" t="s">
        <v>591</v>
      </c>
      <c r="B37" s="31" t="n">
        <v>225000</v>
      </c>
      <c r="C37" s="6" t="s">
        <v>386</v>
      </c>
      <c r="D37" s="6"/>
      <c r="E37" s="6"/>
      <c r="F37" s="6"/>
      <c r="G37" s="12" t="s">
        <v>588</v>
      </c>
    </row>
    <row r="38" customFormat="false" ht="22.35" hidden="false" customHeight="false" outlineLevel="0" collapsed="false">
      <c r="A38" s="19" t="s">
        <v>592</v>
      </c>
      <c r="B38" s="37" t="n">
        <f aca="false">B30*B31*1000</f>
        <v>7800</v>
      </c>
      <c r="C38" s="33" t="s">
        <v>546</v>
      </c>
      <c r="D38" s="33"/>
      <c r="E38" s="33"/>
      <c r="F38" s="33"/>
      <c r="G38" s="24" t="s">
        <v>593</v>
      </c>
    </row>
    <row r="40" customFormat="false" ht="15" hidden="false" customHeight="false" outlineLevel="0" collapsed="false">
      <c r="A40" s="3" t="s">
        <v>594</v>
      </c>
    </row>
    <row r="41" customFormat="false" ht="30" hidden="false" customHeight="true" outlineLevel="0" collapsed="false">
      <c r="A41" s="5" t="s">
        <v>136</v>
      </c>
      <c r="B41" s="5" t="s">
        <v>595</v>
      </c>
      <c r="C41" s="5" t="s">
        <v>596</v>
      </c>
      <c r="D41" s="5" t="s">
        <v>597</v>
      </c>
      <c r="E41" s="5"/>
      <c r="F41" s="5"/>
      <c r="G41" s="5" t="s">
        <v>137</v>
      </c>
    </row>
    <row r="42" customFormat="false" ht="15" hidden="false" customHeight="false" outlineLevel="0" collapsed="false">
      <c r="A42" s="7" t="s">
        <v>598</v>
      </c>
      <c r="B42" s="31" t="n">
        <v>1911</v>
      </c>
      <c r="C42" s="31" t="n">
        <v>1910</v>
      </c>
      <c r="D42" s="26" t="n">
        <f aca="false">B42/C42-1</f>
        <v>0.000523560209424012</v>
      </c>
      <c r="E42" s="6"/>
      <c r="F42" s="6"/>
      <c r="G42" s="12" t="s">
        <v>577</v>
      </c>
    </row>
    <row r="43" customFormat="false" ht="15" hidden="false" customHeight="false" outlineLevel="0" collapsed="false">
      <c r="A43" s="7" t="s">
        <v>599</v>
      </c>
      <c r="B43" s="31" t="n">
        <v>520</v>
      </c>
      <c r="C43" s="31" t="n">
        <v>510</v>
      </c>
      <c r="D43" s="26" t="n">
        <f aca="false">B43/C43-1</f>
        <v>0.0196078431372548</v>
      </c>
      <c r="E43" s="6"/>
      <c r="F43" s="6"/>
      <c r="G43" s="12" t="s">
        <v>577</v>
      </c>
    </row>
    <row r="44" customFormat="false" ht="15" hidden="false" customHeight="false" outlineLevel="0" collapsed="false">
      <c r="A44" s="7" t="s">
        <v>600</v>
      </c>
      <c r="B44" s="31" t="n">
        <v>226</v>
      </c>
      <c r="C44" s="31" t="n">
        <v>224</v>
      </c>
      <c r="D44" s="26" t="n">
        <f aca="false">B44/C44-1</f>
        <v>0.0089285714285714</v>
      </c>
      <c r="E44" s="6"/>
      <c r="F44" s="6"/>
      <c r="G44" s="12" t="s">
        <v>577</v>
      </c>
    </row>
    <row r="45" customFormat="false" ht="15" hidden="false" customHeight="false" outlineLevel="0" collapsed="false">
      <c r="A45" s="7" t="s">
        <v>601</v>
      </c>
      <c r="B45" s="31" t="n">
        <v>113</v>
      </c>
      <c r="C45" s="31" t="n">
        <v>105</v>
      </c>
      <c r="D45" s="26" t="n">
        <f aca="false">B45/C45-1</f>
        <v>0.0761904761904761</v>
      </c>
      <c r="E45" s="6"/>
      <c r="F45" s="6"/>
      <c r="G45" s="12" t="s">
        <v>577</v>
      </c>
    </row>
    <row r="46" customFormat="false" ht="15" hidden="false" customHeight="false" outlineLevel="0" collapsed="false">
      <c r="A46" s="7" t="s">
        <v>602</v>
      </c>
      <c r="B46" s="17" t="n">
        <v>0.272</v>
      </c>
      <c r="C46" s="17" t="n">
        <v>0.267</v>
      </c>
      <c r="D46" s="26" t="n">
        <f aca="false">B46-C46</f>
        <v>0.005</v>
      </c>
      <c r="E46" s="6"/>
      <c r="F46" s="6"/>
      <c r="G46" s="12" t="s">
        <v>603</v>
      </c>
    </row>
    <row r="47" customFormat="false" ht="15" hidden="false" customHeight="false" outlineLevel="0" collapsed="false">
      <c r="A47" s="7" t="s">
        <v>604</v>
      </c>
      <c r="B47" s="42" t="n">
        <v>0.72</v>
      </c>
      <c r="C47" s="42" t="n">
        <v>0.68</v>
      </c>
      <c r="D47" s="26" t="n">
        <f aca="false">B47/C47-1</f>
        <v>0.0588235294117645</v>
      </c>
      <c r="E47" s="6"/>
      <c r="F47" s="6"/>
      <c r="G47" s="12" t="s">
        <v>605</v>
      </c>
    </row>
    <row r="49" customFormat="false" ht="30" hidden="false" customHeight="true" outlineLevel="0" collapsed="false">
      <c r="A49" s="5" t="s">
        <v>606</v>
      </c>
      <c r="B49" s="5" t="s">
        <v>607</v>
      </c>
      <c r="C49" s="5" t="s">
        <v>608</v>
      </c>
      <c r="D49" s="5" t="s">
        <v>609</v>
      </c>
      <c r="E49" s="5"/>
      <c r="F49" s="5"/>
      <c r="G49" s="5" t="s">
        <v>137</v>
      </c>
    </row>
    <row r="50" customFormat="false" ht="15" hidden="false" customHeight="false" outlineLevel="0" collapsed="false">
      <c r="A50" s="7" t="s">
        <v>598</v>
      </c>
      <c r="B50" s="31" t="n">
        <v>7800</v>
      </c>
      <c r="C50" s="31" t="n">
        <v>7900</v>
      </c>
      <c r="D50" s="16" t="n">
        <f aca="false">AVERAGE(B50:C50)/$F$6-1</f>
        <v>0.026546358048908</v>
      </c>
      <c r="E50" s="6"/>
      <c r="F50" s="6"/>
      <c r="G50" s="12" t="s">
        <v>610</v>
      </c>
    </row>
    <row r="51" customFormat="false" ht="15" hidden="false" customHeight="false" outlineLevel="0" collapsed="false">
      <c r="A51" s="7" t="s">
        <v>600</v>
      </c>
      <c r="B51" s="31" t="n">
        <v>950</v>
      </c>
      <c r="C51" s="31" t="n">
        <v>980</v>
      </c>
      <c r="D51" s="6"/>
      <c r="E51" s="6"/>
      <c r="F51" s="6"/>
      <c r="G51" s="12" t="s">
        <v>611</v>
      </c>
    </row>
    <row r="52" customFormat="false" ht="15" hidden="false" customHeight="false" outlineLevel="0" collapsed="false">
      <c r="A52" s="7" t="s">
        <v>612</v>
      </c>
      <c r="B52" s="17" t="n">
        <v>0.122</v>
      </c>
      <c r="C52" s="17" t="n">
        <v>0.124</v>
      </c>
      <c r="D52" s="6"/>
      <c r="E52" s="6"/>
      <c r="F52" s="6"/>
      <c r="G52" s="12" t="s">
        <v>613</v>
      </c>
    </row>
    <row r="54" customFormat="false" ht="15" hidden="false" customHeight="false" outlineLevel="0" collapsed="false">
      <c r="A54" s="3" t="s">
        <v>614</v>
      </c>
    </row>
    <row r="55" customFormat="false" ht="30" hidden="false" customHeight="true" outlineLevel="0" collapsed="false">
      <c r="A55" s="5" t="s">
        <v>615</v>
      </c>
      <c r="B55" s="5" t="s">
        <v>616</v>
      </c>
      <c r="C55" s="5" t="s">
        <v>617</v>
      </c>
      <c r="D55" s="5"/>
      <c r="E55" s="5"/>
      <c r="F55" s="5"/>
      <c r="G55" s="5" t="s">
        <v>103</v>
      </c>
    </row>
    <row r="56" customFormat="false" ht="32.8" hidden="false" customHeight="false" outlineLevel="0" collapsed="false">
      <c r="A56" s="7" t="s">
        <v>618</v>
      </c>
      <c r="B56" s="7" t="s">
        <v>619</v>
      </c>
      <c r="C56" s="6" t="s">
        <v>620</v>
      </c>
      <c r="D56" s="6"/>
      <c r="E56" s="6"/>
      <c r="F56" s="6"/>
      <c r="G56" s="12" t="s">
        <v>621</v>
      </c>
    </row>
    <row r="57" customFormat="false" ht="23.85" hidden="false" customHeight="false" outlineLevel="0" collapsed="false">
      <c r="A57" s="7" t="s">
        <v>622</v>
      </c>
      <c r="B57" s="7" t="s">
        <v>619</v>
      </c>
      <c r="C57" s="6" t="s">
        <v>623</v>
      </c>
      <c r="D57" s="6"/>
      <c r="E57" s="6"/>
      <c r="F57" s="6"/>
      <c r="G57" s="12" t="s">
        <v>624</v>
      </c>
    </row>
    <row r="58" customFormat="false" ht="53.7" hidden="false" customHeight="false" outlineLevel="0" collapsed="false">
      <c r="A58" s="4" t="s">
        <v>625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9" min="2" style="0" width="12"/>
    <col collapsed="false" customWidth="true" hidden="false" outlineLevel="0" max="10" min="10" style="0" width="30"/>
  </cols>
  <sheetData>
    <row r="1" customFormat="false" ht="21.75" hidden="false" customHeight="true" outlineLevel="0" collapsed="false">
      <c r="A1" s="1" t="s">
        <v>626</v>
      </c>
    </row>
    <row r="2" customFormat="false" ht="15" hidden="false" customHeight="false" outlineLevel="0" collapsed="false">
      <c r="A2" s="2" t="s">
        <v>627</v>
      </c>
    </row>
    <row r="4" customFormat="false" ht="15" hidden="false" customHeight="false" outlineLevel="0" collapsed="false">
      <c r="A4" s="3" t="s">
        <v>628</v>
      </c>
    </row>
    <row r="5" customFormat="false" ht="30" hidden="false" customHeight="true" outlineLevel="0" collapsed="false">
      <c r="A5" s="5" t="s">
        <v>546</v>
      </c>
      <c r="B5" s="5" t="s">
        <v>629</v>
      </c>
      <c r="C5" s="5" t="s">
        <v>630</v>
      </c>
      <c r="D5" s="5" t="s">
        <v>631</v>
      </c>
      <c r="E5" s="5" t="s">
        <v>632</v>
      </c>
      <c r="F5" s="5" t="s">
        <v>633</v>
      </c>
      <c r="G5" s="5" t="s">
        <v>634</v>
      </c>
      <c r="H5" s="5" t="s">
        <v>635</v>
      </c>
      <c r="I5" s="5" t="s">
        <v>636</v>
      </c>
      <c r="J5" s="5" t="s">
        <v>137</v>
      </c>
    </row>
    <row r="6" customFormat="false" ht="22.35" hidden="false" customHeight="false" outlineLevel="0" collapsed="false">
      <c r="A6" s="7" t="s">
        <v>552</v>
      </c>
      <c r="B6" s="31" t="n">
        <v>22010</v>
      </c>
      <c r="C6" s="31" t="n">
        <v>21819</v>
      </c>
      <c r="D6" s="31" t="n">
        <v>22792</v>
      </c>
      <c r="E6" s="31" t="n">
        <v>28566</v>
      </c>
      <c r="F6" s="31" t="n">
        <v>29734</v>
      </c>
      <c r="G6" s="31" t="n">
        <v>29635</v>
      </c>
      <c r="H6" s="31" t="n">
        <v>30762</v>
      </c>
      <c r="I6" s="31" t="n">
        <v>31316</v>
      </c>
      <c r="J6" s="12" t="s">
        <v>637</v>
      </c>
    </row>
    <row r="7" customFormat="false" ht="15" hidden="false" customHeight="false" outlineLevel="0" collapsed="false">
      <c r="A7" s="6" t="s">
        <v>554</v>
      </c>
      <c r="B7" s="26"/>
      <c r="C7" s="26" t="n">
        <f aca="false">C6/B6-1</f>
        <v>-0.0086778736937756</v>
      </c>
      <c r="D7" s="26" t="n">
        <f aca="false">D6/C6-1</f>
        <v>0.044594161052294</v>
      </c>
      <c r="E7" s="26" t="n">
        <f aca="false">E6/D6-1</f>
        <v>0.253334503334503</v>
      </c>
      <c r="F7" s="26" t="n">
        <f aca="false">F6/E6-1</f>
        <v>0.0408877686760485</v>
      </c>
      <c r="G7" s="26" t="n">
        <f aca="false">G6/F6-1</f>
        <v>-0.00332952175960177</v>
      </c>
      <c r="H7" s="26" t="n">
        <f aca="false">H6/G6-1</f>
        <v>0.0380293571790114</v>
      </c>
      <c r="I7" s="26" t="n">
        <f aca="false">I6/H6-1</f>
        <v>0.0180092321695597</v>
      </c>
      <c r="J7" s="12" t="s">
        <v>271</v>
      </c>
    </row>
    <row r="8" customFormat="false" ht="15" hidden="false" customHeight="false" outlineLevel="0" collapsed="false">
      <c r="A8" s="7" t="s">
        <v>555</v>
      </c>
      <c r="B8" s="31" t="n">
        <v>6458</v>
      </c>
      <c r="C8" s="31" t="n">
        <v>6421</v>
      </c>
      <c r="D8" s="31" t="n">
        <v>6980</v>
      </c>
      <c r="E8" s="31" t="n">
        <v>8756</v>
      </c>
      <c r="F8" s="31" t="n">
        <v>9025</v>
      </c>
      <c r="G8" s="31" t="n">
        <v>9053</v>
      </c>
      <c r="H8" s="31" t="n">
        <v>9435</v>
      </c>
      <c r="I8" s="31" t="n">
        <v>9708</v>
      </c>
      <c r="J8" s="12" t="s">
        <v>556</v>
      </c>
    </row>
    <row r="9" customFormat="false" ht="15" hidden="false" customHeight="false" outlineLevel="0" collapsed="false">
      <c r="A9" s="6" t="s">
        <v>557</v>
      </c>
      <c r="B9" s="26" t="n">
        <f aca="false">B8/B6</f>
        <v>0.29341208541572</v>
      </c>
      <c r="C9" s="26" t="n">
        <f aca="false">C8/C6</f>
        <v>0.294284797653421</v>
      </c>
      <c r="D9" s="26" t="n">
        <f aca="false">D8/D6</f>
        <v>0.306247806247806</v>
      </c>
      <c r="E9" s="26" t="n">
        <f aca="false">E8/E6</f>
        <v>0.306518238465308</v>
      </c>
      <c r="F9" s="26" t="n">
        <f aca="false">F8/F6</f>
        <v>0.303524584650568</v>
      </c>
      <c r="G9" s="26" t="n">
        <f aca="false">G8/G6</f>
        <v>0.305483381137169</v>
      </c>
      <c r="H9" s="26" t="n">
        <f aca="false">H8/H6</f>
        <v>0.306709576750536</v>
      </c>
      <c r="I9" s="26" t="n">
        <f aca="false">I8/I6</f>
        <v>0.310001277302337</v>
      </c>
      <c r="J9" s="12" t="s">
        <v>271</v>
      </c>
    </row>
    <row r="10" customFormat="false" ht="15" hidden="false" customHeight="false" outlineLevel="0" collapsed="false">
      <c r="A10" s="7" t="s">
        <v>638</v>
      </c>
      <c r="B10" s="31"/>
      <c r="C10" s="31" t="n">
        <v>1581</v>
      </c>
      <c r="D10" s="31" t="n">
        <v>2168</v>
      </c>
      <c r="E10" s="31" t="n">
        <v>3121</v>
      </c>
      <c r="F10" s="31" t="n">
        <v>2980</v>
      </c>
      <c r="G10" s="31" t="n">
        <v>2987</v>
      </c>
      <c r="H10" s="31" t="n">
        <v>2979</v>
      </c>
      <c r="I10" s="31" t="n">
        <v>3243</v>
      </c>
      <c r="J10" s="12" t="s">
        <v>639</v>
      </c>
    </row>
    <row r="11" customFormat="false" ht="15" hidden="false" customHeight="false" outlineLevel="0" collapsed="false">
      <c r="A11" s="7" t="s">
        <v>561</v>
      </c>
      <c r="B11" s="31" t="n">
        <v>1402</v>
      </c>
      <c r="C11" s="31" t="n">
        <v>1422</v>
      </c>
      <c r="D11" s="31" t="n">
        <v>2034</v>
      </c>
      <c r="E11" s="31" t="n">
        <v>2820</v>
      </c>
      <c r="F11" s="31" t="n">
        <v>2659</v>
      </c>
      <c r="G11" s="31" t="n">
        <v>2652</v>
      </c>
      <c r="H11" s="31" t="n">
        <v>2606</v>
      </c>
      <c r="I11" s="31" t="n">
        <v>2789</v>
      </c>
      <c r="J11" s="12" t="s">
        <v>556</v>
      </c>
    </row>
    <row r="12" customFormat="false" ht="15" hidden="false" customHeight="false" outlineLevel="0" collapsed="false">
      <c r="A12" s="6" t="s">
        <v>640</v>
      </c>
      <c r="B12" s="26" t="n">
        <f aca="false">B11/B6</f>
        <v>0.0636983189459337</v>
      </c>
      <c r="C12" s="26" t="n">
        <f aca="false">C11/C6</f>
        <v>0.0651725560291489</v>
      </c>
      <c r="D12" s="26" t="n">
        <f aca="false">D11/D6</f>
        <v>0.0892418392418393</v>
      </c>
      <c r="E12" s="26" t="n">
        <f aca="false">E11/E6</f>
        <v>0.0987187565637471</v>
      </c>
      <c r="F12" s="26" t="n">
        <f aca="false">F11/F6</f>
        <v>0.0894262460482949</v>
      </c>
      <c r="G12" s="26" t="n">
        <f aca="false">G11/G6</f>
        <v>0.0894887801585963</v>
      </c>
      <c r="H12" s="26" t="n">
        <f aca="false">H11/H6</f>
        <v>0.0847149080033808</v>
      </c>
      <c r="I12" s="26" t="n">
        <f aca="false">I11/I6</f>
        <v>0.089059905479627</v>
      </c>
      <c r="J12" s="12" t="s">
        <v>271</v>
      </c>
    </row>
    <row r="13" customFormat="false" ht="15" hidden="false" customHeight="false" outlineLevel="0" collapsed="false">
      <c r="A13" s="7" t="s">
        <v>562</v>
      </c>
      <c r="B13" s="31" t="n">
        <v>1108</v>
      </c>
      <c r="C13" s="31" t="n">
        <v>961</v>
      </c>
      <c r="D13" s="31" t="n">
        <v>1508</v>
      </c>
      <c r="E13" s="31" t="n">
        <v>2122</v>
      </c>
      <c r="F13" s="31" t="n">
        <v>1889</v>
      </c>
      <c r="G13" s="31" t="n">
        <v>1735</v>
      </c>
      <c r="H13" s="31" t="n">
        <v>1856</v>
      </c>
      <c r="I13" s="31" t="n">
        <v>2006</v>
      </c>
      <c r="J13" s="12" t="s">
        <v>556</v>
      </c>
    </row>
    <row r="15" customFormat="false" ht="15" hidden="false" customHeight="false" outlineLevel="0" collapsed="false">
      <c r="A15" s="3" t="s">
        <v>641</v>
      </c>
    </row>
    <row r="16" customFormat="false" ht="30" hidden="false" customHeight="true" outlineLevel="0" collapsed="false">
      <c r="A16" s="5" t="s">
        <v>642</v>
      </c>
      <c r="B16" s="5" t="s">
        <v>643</v>
      </c>
      <c r="C16" s="5" t="s">
        <v>644</v>
      </c>
      <c r="D16" s="5" t="s">
        <v>645</v>
      </c>
      <c r="E16" s="5" t="s">
        <v>646</v>
      </c>
      <c r="F16" s="5"/>
      <c r="G16" s="5"/>
      <c r="H16" s="5"/>
      <c r="I16" s="5"/>
      <c r="J16" s="5" t="s">
        <v>162</v>
      </c>
    </row>
    <row r="17" customFormat="false" ht="15" hidden="false" customHeight="false" outlineLevel="0" collapsed="false">
      <c r="A17" s="7" t="s">
        <v>647</v>
      </c>
      <c r="B17" s="17" t="n">
        <v>0.24</v>
      </c>
      <c r="C17" s="17" t="n">
        <v>0.03</v>
      </c>
      <c r="D17" s="17" t="n">
        <v>0.15</v>
      </c>
      <c r="E17" s="43" t="n">
        <f aca="false">B17*$E$25</f>
        <v>2002.32</v>
      </c>
      <c r="F17" s="6"/>
      <c r="G17" s="6"/>
      <c r="H17" s="6"/>
      <c r="I17" s="6"/>
      <c r="J17" s="12" t="s">
        <v>648</v>
      </c>
    </row>
    <row r="18" customFormat="false" ht="15" hidden="false" customHeight="false" outlineLevel="0" collapsed="false">
      <c r="A18" s="7" t="s">
        <v>649</v>
      </c>
      <c r="B18" s="17" t="n">
        <v>0.2</v>
      </c>
      <c r="C18" s="17" t="n">
        <v>-0.01</v>
      </c>
      <c r="D18" s="17" t="n">
        <v>0.02</v>
      </c>
      <c r="E18" s="43" t="n">
        <f aca="false">B18*$E$25</f>
        <v>1668.6</v>
      </c>
      <c r="F18" s="6"/>
      <c r="G18" s="6"/>
      <c r="H18" s="6"/>
      <c r="I18" s="6"/>
      <c r="J18" s="12" t="s">
        <v>648</v>
      </c>
    </row>
    <row r="19" customFormat="false" ht="15" hidden="false" customHeight="false" outlineLevel="0" collapsed="false">
      <c r="A19" s="7" t="s">
        <v>650</v>
      </c>
      <c r="B19" s="17" t="n">
        <v>0.16</v>
      </c>
      <c r="C19" s="17" t="n">
        <v>0.15</v>
      </c>
      <c r="D19" s="17" t="n">
        <v>0.2</v>
      </c>
      <c r="E19" s="43" t="n">
        <f aca="false">B19*$E$25</f>
        <v>1334.88</v>
      </c>
      <c r="F19" s="6"/>
      <c r="G19" s="6"/>
      <c r="H19" s="6"/>
      <c r="I19" s="6"/>
      <c r="J19" s="12" t="s">
        <v>648</v>
      </c>
    </row>
    <row r="20" customFormat="false" ht="15" hidden="false" customHeight="false" outlineLevel="0" collapsed="false">
      <c r="A20" s="7" t="s">
        <v>651</v>
      </c>
      <c r="B20" s="17" t="n">
        <v>0.14</v>
      </c>
      <c r="C20" s="17" t="n">
        <v>0</v>
      </c>
      <c r="D20" s="17" t="n">
        <v>-0.02</v>
      </c>
      <c r="E20" s="43" t="n">
        <f aca="false">B20*$E$25</f>
        <v>1168.02</v>
      </c>
      <c r="F20" s="6"/>
      <c r="G20" s="6"/>
      <c r="H20" s="6"/>
      <c r="I20" s="6"/>
      <c r="J20" s="12" t="s">
        <v>648</v>
      </c>
    </row>
    <row r="21" customFormat="false" ht="15" hidden="false" customHeight="false" outlineLevel="0" collapsed="false">
      <c r="A21" s="7" t="s">
        <v>652</v>
      </c>
      <c r="B21" s="17" t="n">
        <v>0.13</v>
      </c>
      <c r="C21" s="17" t="n">
        <v>0.11</v>
      </c>
      <c r="D21" s="17" t="n">
        <v>0.01</v>
      </c>
      <c r="E21" s="43" t="n">
        <f aca="false">B21*$E$25</f>
        <v>1084.59</v>
      </c>
      <c r="F21" s="6"/>
      <c r="G21" s="6"/>
      <c r="H21" s="6"/>
      <c r="I21" s="6"/>
      <c r="J21" s="12" t="s">
        <v>648</v>
      </c>
    </row>
    <row r="22" customFormat="false" ht="15" hidden="false" customHeight="false" outlineLevel="0" collapsed="false">
      <c r="A22" s="7" t="s">
        <v>653</v>
      </c>
      <c r="B22" s="17" t="n">
        <v>0.07</v>
      </c>
      <c r="C22" s="17" t="n">
        <v>0.18</v>
      </c>
      <c r="D22" s="17" t="n">
        <v>0.06</v>
      </c>
      <c r="E22" s="43" t="n">
        <f aca="false">B22*$E$25</f>
        <v>584.01</v>
      </c>
      <c r="F22" s="6"/>
      <c r="G22" s="6"/>
      <c r="H22" s="6"/>
      <c r="I22" s="6"/>
      <c r="J22" s="12" t="s">
        <v>648</v>
      </c>
    </row>
    <row r="23" customFormat="false" ht="15" hidden="false" customHeight="false" outlineLevel="0" collapsed="false">
      <c r="A23" s="7" t="s">
        <v>654</v>
      </c>
      <c r="B23" s="17" t="n">
        <v>0.04</v>
      </c>
      <c r="C23" s="17" t="n">
        <v>0.05</v>
      </c>
      <c r="D23" s="17" t="n">
        <v>0.02</v>
      </c>
      <c r="E23" s="43" t="n">
        <f aca="false">B23*$E$25</f>
        <v>333.72</v>
      </c>
      <c r="F23" s="6"/>
      <c r="G23" s="6"/>
      <c r="H23" s="6"/>
      <c r="I23" s="6"/>
      <c r="J23" s="12" t="s">
        <v>648</v>
      </c>
    </row>
    <row r="24" customFormat="false" ht="15" hidden="false" customHeight="false" outlineLevel="0" collapsed="false">
      <c r="A24" s="7" t="s">
        <v>655</v>
      </c>
      <c r="B24" s="17" t="n">
        <v>0.02</v>
      </c>
      <c r="C24" s="17" t="n">
        <v>-0.13</v>
      </c>
      <c r="D24" s="17" t="n">
        <v>0.05</v>
      </c>
      <c r="E24" s="43" t="n">
        <f aca="false">B24*$E$25</f>
        <v>166.86</v>
      </c>
      <c r="F24" s="6"/>
      <c r="G24" s="6"/>
      <c r="H24" s="6"/>
      <c r="I24" s="6"/>
      <c r="J24" s="12" t="s">
        <v>648</v>
      </c>
    </row>
    <row r="25" customFormat="false" ht="22.35" hidden="false" customHeight="false" outlineLevel="0" collapsed="false">
      <c r="A25" s="19" t="s">
        <v>656</v>
      </c>
      <c r="B25" s="30" t="n">
        <f aca="false">SUM(B17:B24)</f>
        <v>1</v>
      </c>
      <c r="C25" s="44" t="n">
        <v>0.05</v>
      </c>
      <c r="D25" s="44" t="n">
        <v>0.068</v>
      </c>
      <c r="E25" s="45" t="n">
        <v>8343</v>
      </c>
      <c r="F25" s="33"/>
      <c r="G25" s="33"/>
      <c r="H25" s="33"/>
      <c r="I25" s="33"/>
      <c r="J25" s="24" t="s">
        <v>657</v>
      </c>
    </row>
    <row r="26" customFormat="false" ht="15" hidden="false" customHeight="false" outlineLevel="0" collapsed="false">
      <c r="A26" s="7" t="s">
        <v>658</v>
      </c>
      <c r="B26" s="6"/>
      <c r="C26" s="17" t="n">
        <v>-0.019</v>
      </c>
      <c r="D26" s="6"/>
      <c r="E26" s="31" t="n">
        <v>408</v>
      </c>
      <c r="F26" s="6"/>
      <c r="G26" s="6"/>
      <c r="H26" s="6"/>
      <c r="I26" s="6"/>
      <c r="J26" s="12" t="s">
        <v>659</v>
      </c>
    </row>
    <row r="27" customFormat="false" ht="15" hidden="false" customHeight="false" outlineLevel="0" collapsed="false">
      <c r="A27" s="19" t="s">
        <v>660</v>
      </c>
      <c r="B27" s="33"/>
      <c r="C27" s="44" t="n">
        <v>0.046</v>
      </c>
      <c r="D27" s="33"/>
      <c r="E27" s="45" t="n">
        <v>8751</v>
      </c>
      <c r="F27" s="33"/>
      <c r="G27" s="33"/>
      <c r="H27" s="33"/>
      <c r="I27" s="33"/>
      <c r="J27" s="24" t="s">
        <v>661</v>
      </c>
    </row>
    <row r="29" customFormat="false" ht="15" hidden="false" customHeight="false" outlineLevel="0" collapsed="false">
      <c r="A29" s="3" t="s">
        <v>662</v>
      </c>
    </row>
    <row r="30" customFormat="false" ht="30" hidden="false" customHeight="true" outlineLevel="0" collapsed="false">
      <c r="A30" s="5" t="s">
        <v>267</v>
      </c>
      <c r="B30" s="5" t="s">
        <v>74</v>
      </c>
      <c r="C30" s="5" t="s">
        <v>75</v>
      </c>
      <c r="D30" s="5"/>
      <c r="E30" s="5"/>
      <c r="F30" s="5"/>
      <c r="G30" s="5"/>
      <c r="H30" s="5"/>
      <c r="I30" s="5"/>
      <c r="J30" s="5" t="s">
        <v>76</v>
      </c>
    </row>
    <row r="31" customFormat="false" ht="15" hidden="false" customHeight="false" outlineLevel="0" collapsed="false">
      <c r="A31" s="7" t="s">
        <v>663</v>
      </c>
      <c r="B31" s="31" t="n">
        <v>31316</v>
      </c>
      <c r="C31" s="6" t="s">
        <v>546</v>
      </c>
      <c r="D31" s="6"/>
      <c r="E31" s="6"/>
      <c r="F31" s="6"/>
      <c r="G31" s="6"/>
      <c r="H31" s="6"/>
      <c r="I31" s="6"/>
      <c r="J31" s="12" t="s">
        <v>664</v>
      </c>
    </row>
    <row r="32" customFormat="false" ht="15" hidden="false" customHeight="false" outlineLevel="0" collapsed="false">
      <c r="A32" s="7" t="s">
        <v>665</v>
      </c>
      <c r="B32" s="27" t="n">
        <f aca="false">E26*4</f>
        <v>1632</v>
      </c>
      <c r="C32" s="6" t="s">
        <v>546</v>
      </c>
      <c r="D32" s="6"/>
      <c r="E32" s="6"/>
      <c r="F32" s="6"/>
      <c r="G32" s="6"/>
      <c r="H32" s="6"/>
      <c r="I32" s="6"/>
      <c r="J32" s="12" t="s">
        <v>666</v>
      </c>
    </row>
    <row r="33" customFormat="false" ht="15" hidden="false" customHeight="false" outlineLevel="0" collapsed="false">
      <c r="A33" s="7" t="s">
        <v>667</v>
      </c>
      <c r="B33" s="27" t="n">
        <f aca="false">B31-B32</f>
        <v>29684</v>
      </c>
      <c r="C33" s="6" t="s">
        <v>546</v>
      </c>
      <c r="D33" s="6"/>
      <c r="E33" s="6"/>
      <c r="F33" s="6"/>
      <c r="G33" s="6"/>
      <c r="H33" s="6"/>
      <c r="I33" s="6"/>
      <c r="J33" s="12" t="s">
        <v>271</v>
      </c>
    </row>
    <row r="34" customFormat="false" ht="32.8" hidden="false" customHeight="false" outlineLevel="0" collapsed="false">
      <c r="A34" s="7" t="s">
        <v>668</v>
      </c>
      <c r="B34" s="17" t="n">
        <v>0.22</v>
      </c>
      <c r="C34" s="6" t="s">
        <v>91</v>
      </c>
      <c r="D34" s="6"/>
      <c r="E34" s="6"/>
      <c r="F34" s="6"/>
      <c r="G34" s="6"/>
      <c r="H34" s="6"/>
      <c r="I34" s="6"/>
      <c r="J34" s="12" t="s">
        <v>669</v>
      </c>
    </row>
    <row r="35" customFormat="false" ht="15" hidden="false" customHeight="false" outlineLevel="0" collapsed="false">
      <c r="A35" s="7" t="s">
        <v>670</v>
      </c>
      <c r="B35" s="17" t="n">
        <v>0.24</v>
      </c>
      <c r="C35" s="6" t="s">
        <v>91</v>
      </c>
      <c r="D35" s="6"/>
      <c r="E35" s="6"/>
      <c r="F35" s="6"/>
      <c r="G35" s="6"/>
      <c r="H35" s="6"/>
      <c r="I35" s="6"/>
      <c r="J35" s="12" t="s">
        <v>664</v>
      </c>
    </row>
    <row r="36" customFormat="false" ht="15" hidden="false" customHeight="false" outlineLevel="0" collapsed="false">
      <c r="A36" s="19" t="s">
        <v>671</v>
      </c>
      <c r="B36" s="37" t="n">
        <f aca="false">B33*B34</f>
        <v>6530.48</v>
      </c>
      <c r="C36" s="33" t="s">
        <v>546</v>
      </c>
      <c r="D36" s="33"/>
      <c r="E36" s="33"/>
      <c r="F36" s="33"/>
      <c r="G36" s="33"/>
      <c r="H36" s="33"/>
      <c r="I36" s="33"/>
      <c r="J36" s="24" t="s">
        <v>271</v>
      </c>
    </row>
    <row r="37" customFormat="false" ht="15" hidden="false" customHeight="false" outlineLevel="0" collapsed="false">
      <c r="A37" s="19" t="s">
        <v>672</v>
      </c>
      <c r="B37" s="37" t="n">
        <f aca="false">B33*B35</f>
        <v>7124.16</v>
      </c>
      <c r="C37" s="33" t="s">
        <v>546</v>
      </c>
      <c r="D37" s="33"/>
      <c r="E37" s="33"/>
      <c r="F37" s="33"/>
      <c r="G37" s="33"/>
      <c r="H37" s="33"/>
      <c r="I37" s="33"/>
      <c r="J37" s="24" t="s">
        <v>271</v>
      </c>
    </row>
    <row r="38" customFormat="false" ht="15" hidden="false" customHeight="false" outlineLevel="0" collapsed="false">
      <c r="A38" s="6" t="s">
        <v>673</v>
      </c>
      <c r="B38" s="16" t="n">
        <f aca="false">B37/B31</f>
        <v>0.22749265551156</v>
      </c>
      <c r="C38" s="6" t="s">
        <v>91</v>
      </c>
      <c r="D38" s="6"/>
      <c r="E38" s="6"/>
      <c r="F38" s="6"/>
      <c r="G38" s="6"/>
      <c r="H38" s="6"/>
      <c r="I38" s="6"/>
      <c r="J38" s="12" t="s">
        <v>271</v>
      </c>
    </row>
    <row r="40" customFormat="false" ht="15" hidden="false" customHeight="false" outlineLevel="0" collapsed="false">
      <c r="A40" s="3" t="s">
        <v>674</v>
      </c>
    </row>
    <row r="41" customFormat="false" ht="30" hidden="false" customHeight="true" outlineLevel="0" collapsed="false">
      <c r="A41" s="5" t="s">
        <v>233</v>
      </c>
      <c r="B41" s="5" t="s">
        <v>74</v>
      </c>
      <c r="C41" s="5" t="s">
        <v>75</v>
      </c>
      <c r="D41" s="5"/>
      <c r="E41" s="5"/>
      <c r="F41" s="5"/>
      <c r="G41" s="5"/>
      <c r="H41" s="5"/>
      <c r="I41" s="5"/>
      <c r="J41" s="5" t="s">
        <v>137</v>
      </c>
    </row>
    <row r="42" customFormat="false" ht="32.8" hidden="false" customHeight="false" outlineLevel="0" collapsed="false">
      <c r="A42" s="7" t="s">
        <v>675</v>
      </c>
      <c r="B42" s="17" t="n">
        <v>0.07</v>
      </c>
      <c r="C42" s="6" t="s">
        <v>91</v>
      </c>
      <c r="D42" s="6"/>
      <c r="E42" s="6"/>
      <c r="F42" s="6"/>
      <c r="G42" s="6"/>
      <c r="H42" s="6"/>
      <c r="I42" s="6"/>
      <c r="J42" s="12" t="s">
        <v>676</v>
      </c>
    </row>
    <row r="43" customFormat="false" ht="15" hidden="false" customHeight="false" outlineLevel="0" collapsed="false">
      <c r="A43" s="7" t="s">
        <v>677</v>
      </c>
      <c r="B43" s="17" t="n">
        <v>0.15</v>
      </c>
      <c r="C43" s="6" t="s">
        <v>91</v>
      </c>
      <c r="D43" s="6"/>
      <c r="E43" s="6"/>
      <c r="F43" s="6"/>
      <c r="G43" s="6"/>
      <c r="H43" s="6"/>
      <c r="I43" s="6"/>
      <c r="J43" s="12" t="s">
        <v>678</v>
      </c>
    </row>
    <row r="44" customFormat="false" ht="22.35" hidden="false" customHeight="false" outlineLevel="0" collapsed="false">
      <c r="A44" s="7" t="s">
        <v>679</v>
      </c>
      <c r="B44" s="31" t="n">
        <v>1600</v>
      </c>
      <c r="C44" s="6" t="s">
        <v>546</v>
      </c>
      <c r="D44" s="6"/>
      <c r="E44" s="6"/>
      <c r="F44" s="6"/>
      <c r="G44" s="6"/>
      <c r="H44" s="6"/>
      <c r="I44" s="6"/>
      <c r="J44" s="12" t="s">
        <v>680</v>
      </c>
    </row>
    <row r="45" customFormat="false" ht="22.35" hidden="false" customHeight="false" outlineLevel="0" collapsed="false">
      <c r="A45" s="7" t="s">
        <v>681</v>
      </c>
      <c r="B45" s="31" t="n">
        <v>45</v>
      </c>
      <c r="C45" s="6" t="s">
        <v>546</v>
      </c>
      <c r="D45" s="6"/>
      <c r="E45" s="6"/>
      <c r="F45" s="6"/>
      <c r="G45" s="6"/>
      <c r="H45" s="6"/>
      <c r="I45" s="6"/>
      <c r="J45" s="12" t="s">
        <v>682</v>
      </c>
    </row>
    <row r="46" customFormat="false" ht="22.35" hidden="false" customHeight="false" outlineLevel="0" collapsed="false">
      <c r="A46" s="7" t="s">
        <v>683</v>
      </c>
      <c r="B46" s="18" t="n">
        <v>1.3</v>
      </c>
      <c r="C46" s="6" t="s">
        <v>684</v>
      </c>
      <c r="D46" s="6"/>
      <c r="E46" s="6"/>
      <c r="F46" s="6"/>
      <c r="G46" s="6"/>
      <c r="H46" s="6"/>
      <c r="I46" s="6"/>
      <c r="J46" s="12" t="s">
        <v>685</v>
      </c>
    </row>
    <row r="47" customFormat="false" ht="15" hidden="false" customHeight="false" outlineLevel="0" collapsed="false">
      <c r="A47" s="7" t="s">
        <v>686</v>
      </c>
      <c r="B47" s="17" t="n">
        <v>0.095</v>
      </c>
      <c r="C47" s="6" t="s">
        <v>91</v>
      </c>
      <c r="D47" s="6"/>
      <c r="E47" s="6"/>
      <c r="F47" s="6"/>
      <c r="G47" s="6"/>
      <c r="H47" s="6"/>
      <c r="I47" s="6"/>
      <c r="J47" s="12" t="s">
        <v>687</v>
      </c>
    </row>
    <row r="48" customFormat="false" ht="15" hidden="false" customHeight="false" outlineLevel="0" collapsed="false">
      <c r="A48" s="7" t="s">
        <v>688</v>
      </c>
      <c r="B48" s="17" t="n">
        <v>0.098</v>
      </c>
      <c r="C48" s="6" t="s">
        <v>91</v>
      </c>
      <c r="D48" s="6"/>
      <c r="E48" s="6"/>
      <c r="F48" s="6"/>
      <c r="G48" s="6"/>
      <c r="H48" s="6"/>
      <c r="I48" s="6"/>
      <c r="J48"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3" min="2" style="0" width="20"/>
    <col collapsed="false" customWidth="true" hidden="false" outlineLevel="0" max="4" min="4" style="0" width="50"/>
  </cols>
  <sheetData>
    <row r="1" customFormat="false" ht="21.75" hidden="false" customHeight="true" outlineLevel="0" collapsed="false">
      <c r="A1" s="1" t="s">
        <v>689</v>
      </c>
    </row>
    <row r="2" customFormat="false" ht="15" hidden="false" customHeight="false" outlineLevel="0" collapsed="false">
      <c r="A2" s="2" t="s">
        <v>690</v>
      </c>
    </row>
    <row r="4" customFormat="false" ht="15" hidden="false" customHeight="false" outlineLevel="0" collapsed="false">
      <c r="A4" s="3" t="s">
        <v>691</v>
      </c>
    </row>
    <row r="5" customFormat="false" ht="30" hidden="false" customHeight="true" outlineLevel="0" collapsed="false">
      <c r="A5" s="5" t="s">
        <v>136</v>
      </c>
      <c r="B5" s="5" t="s">
        <v>692</v>
      </c>
      <c r="C5" s="5" t="s">
        <v>31</v>
      </c>
      <c r="D5" s="5" t="s">
        <v>137</v>
      </c>
    </row>
    <row r="6" customFormat="false" ht="15" hidden="false" customHeight="false" outlineLevel="0" collapsed="false">
      <c r="A6" s="7" t="s">
        <v>693</v>
      </c>
      <c r="B6" s="46" t="n">
        <f aca="false">'Core and Main'!F6</f>
        <v>7647</v>
      </c>
      <c r="C6" s="46" t="n">
        <f aca="false">Ferguson!I6</f>
        <v>31316</v>
      </c>
      <c r="D6" s="12" t="s">
        <v>694</v>
      </c>
    </row>
    <row r="7" customFormat="false" ht="15" hidden="false" customHeight="false" outlineLevel="0" collapsed="false">
      <c r="A7" s="7" t="s">
        <v>695</v>
      </c>
      <c r="B7" s="46" t="n">
        <f aca="false">'Core and Main'!F6</f>
        <v>7647</v>
      </c>
      <c r="C7" s="46" t="n">
        <f aca="false">Ferguson!B37</f>
        <v>7124.16</v>
      </c>
      <c r="D7" s="12" t="s">
        <v>696</v>
      </c>
    </row>
    <row r="8" customFormat="false" ht="15" hidden="false" customHeight="false" outlineLevel="0" collapsed="false">
      <c r="A8" s="6" t="s">
        <v>673</v>
      </c>
      <c r="B8" s="16" t="n">
        <f aca="false">B7/B6</f>
        <v>1</v>
      </c>
      <c r="C8" s="16" t="n">
        <f aca="false">C7/C6</f>
        <v>0.22749265551156</v>
      </c>
      <c r="D8" s="12" t="s">
        <v>271</v>
      </c>
    </row>
    <row r="9" customFormat="false" ht="15" hidden="false" customHeight="false" outlineLevel="0" collapsed="false">
      <c r="A9" s="7" t="s">
        <v>697</v>
      </c>
      <c r="B9" s="46" t="n">
        <f aca="false">'Core and Main'!C19</f>
        <v>3364.68</v>
      </c>
      <c r="C9" s="6" t="s">
        <v>698</v>
      </c>
      <c r="D9" s="12" t="s">
        <v>699</v>
      </c>
    </row>
    <row r="10" customFormat="false" ht="15" hidden="false" customHeight="false" outlineLevel="0" collapsed="false">
      <c r="A10" s="6" t="s">
        <v>673</v>
      </c>
      <c r="B10" s="16" t="n">
        <f aca="false">B9/B6</f>
        <v>0.44</v>
      </c>
      <c r="C10" s="6" t="s">
        <v>698</v>
      </c>
      <c r="D10" s="12" t="s">
        <v>271</v>
      </c>
    </row>
    <row r="11" customFormat="false" ht="22.35" hidden="false" customHeight="false" outlineLevel="0" collapsed="false">
      <c r="A11" s="7" t="s">
        <v>700</v>
      </c>
      <c r="B11" s="17" t="n">
        <v>0.122</v>
      </c>
      <c r="C11" s="17" t="n">
        <v>0.107</v>
      </c>
      <c r="D11" s="12" t="s">
        <v>701</v>
      </c>
    </row>
    <row r="12" customFormat="false" ht="15" hidden="false" customHeight="false" outlineLevel="0" collapsed="false">
      <c r="A12" s="7" t="s">
        <v>702</v>
      </c>
      <c r="B12" s="17" t="n">
        <v>0.5</v>
      </c>
      <c r="C12" s="6" t="s">
        <v>698</v>
      </c>
      <c r="D12" s="12" t="s">
        <v>703</v>
      </c>
    </row>
    <row r="14" customFormat="false" ht="15" hidden="false" customHeight="false" outlineLevel="0" collapsed="false">
      <c r="A14" s="3" t="s">
        <v>704</v>
      </c>
    </row>
    <row r="15" customFormat="false" ht="30" hidden="false" customHeight="true" outlineLevel="0" collapsed="false">
      <c r="A15" s="5" t="s">
        <v>136</v>
      </c>
      <c r="B15" s="5" t="s">
        <v>74</v>
      </c>
      <c r="C15" s="5"/>
      <c r="D15" s="5" t="s">
        <v>76</v>
      </c>
    </row>
    <row r="16" customFormat="false" ht="15" hidden="false" customHeight="false" outlineLevel="0" collapsed="false">
      <c r="A16" s="7" t="s">
        <v>705</v>
      </c>
      <c r="B16" s="27" t="n">
        <f aca="false">B7+C7</f>
        <v>14771.16</v>
      </c>
      <c r="C16" s="6"/>
      <c r="D16" s="12" t="s">
        <v>271</v>
      </c>
    </row>
    <row r="17" customFormat="false" ht="15" hidden="false" customHeight="false" outlineLevel="0" collapsed="false">
      <c r="A17" s="7" t="s">
        <v>706</v>
      </c>
      <c r="B17" s="46" t="n">
        <f aca="false">'Core and Main'!B30*1000</f>
        <v>39000</v>
      </c>
      <c r="C17" s="6"/>
      <c r="D17" s="12" t="s">
        <v>584</v>
      </c>
    </row>
    <row r="18" customFormat="false" ht="22.35" hidden="false" customHeight="false" outlineLevel="0" collapsed="false">
      <c r="A18" s="19" t="s">
        <v>707</v>
      </c>
      <c r="B18" s="30" t="n">
        <f aca="false">B16/B17</f>
        <v>0.378747692307692</v>
      </c>
      <c r="C18" s="33"/>
      <c r="D18" s="24" t="s">
        <v>708</v>
      </c>
    </row>
    <row r="20" customFormat="false" ht="15" hidden="false" customHeight="false" outlineLevel="0" collapsed="false">
      <c r="A20" s="3" t="s">
        <v>709</v>
      </c>
    </row>
    <row r="21" customFormat="false" ht="30" hidden="false" customHeight="true" outlineLevel="0" collapsed="false">
      <c r="A21" s="5" t="s">
        <v>136</v>
      </c>
      <c r="B21" s="5" t="s">
        <v>692</v>
      </c>
      <c r="C21" s="5" t="s">
        <v>31</v>
      </c>
      <c r="D21" s="5" t="s">
        <v>137</v>
      </c>
    </row>
    <row r="22" customFormat="false" ht="15" hidden="false" customHeight="false" outlineLevel="0" collapsed="false">
      <c r="A22" s="7" t="s">
        <v>710</v>
      </c>
      <c r="B22" s="43" t="n">
        <f aca="false">B9</f>
        <v>3364.68</v>
      </c>
      <c r="C22" s="43" t="n">
        <f aca="false">C7</f>
        <v>7124.16</v>
      </c>
      <c r="D22" s="12" t="s">
        <v>711</v>
      </c>
    </row>
    <row r="23" customFormat="false" ht="15" hidden="false" customHeight="false" outlineLevel="0" collapsed="false">
      <c r="A23" s="7" t="s">
        <v>712</v>
      </c>
      <c r="B23" s="13" t="n">
        <v>0.01</v>
      </c>
      <c r="C23" s="13" t="n">
        <v>0.01</v>
      </c>
      <c r="D23" s="12" t="s">
        <v>713</v>
      </c>
    </row>
    <row r="24" customFormat="false" ht="15" hidden="false" customHeight="false" outlineLevel="0" collapsed="false">
      <c r="A24" s="7" t="s">
        <v>714</v>
      </c>
      <c r="B24" s="27" t="n">
        <f aca="false">B22*B23</f>
        <v>33.6468</v>
      </c>
      <c r="C24" s="27" t="n">
        <f aca="false">C22*C23</f>
        <v>71.2416</v>
      </c>
      <c r="D24" s="12" t="s">
        <v>271</v>
      </c>
    </row>
    <row r="25" customFormat="false" ht="22.35" hidden="false" customHeight="false" outlineLevel="0" collapsed="false">
      <c r="A25" s="19" t="s">
        <v>673</v>
      </c>
      <c r="B25" s="30" t="n">
        <f aca="false">B24/B6</f>
        <v>0.0044</v>
      </c>
      <c r="C25" s="30" t="n">
        <f aca="false">C24/C6</f>
        <v>0.0022749265551156</v>
      </c>
      <c r="D25" s="24" t="s">
        <v>715</v>
      </c>
    </row>
    <row r="26" customFormat="false" ht="15" hidden="false" customHeight="false" outlineLevel="0" collapsed="false">
      <c r="A26" s="7" t="s">
        <v>716</v>
      </c>
      <c r="B26" s="27" t="n">
        <f aca="false">B24*B11</f>
        <v>4.1049096</v>
      </c>
      <c r="C26" s="27" t="n">
        <f aca="false">C24*C11</f>
        <v>7.6228512</v>
      </c>
      <c r="D26" s="12" t="s">
        <v>717</v>
      </c>
    </row>
    <row r="28" customFormat="false" ht="30" hidden="false" customHeight="true" outlineLevel="0" collapsed="false">
      <c r="A28" s="5" t="s">
        <v>718</v>
      </c>
      <c r="B28" s="5" t="s">
        <v>692</v>
      </c>
      <c r="C28" s="5" t="s">
        <v>31</v>
      </c>
      <c r="D28" s="5" t="s">
        <v>137</v>
      </c>
    </row>
    <row r="29" customFormat="false" ht="15" hidden="false" customHeight="false" outlineLevel="0" collapsed="false">
      <c r="A29" s="7" t="s">
        <v>719</v>
      </c>
      <c r="B29" s="17" t="n">
        <v>0.0125</v>
      </c>
      <c r="C29" s="17" t="n">
        <v>0.0125</v>
      </c>
      <c r="D29" s="12" t="s">
        <v>720</v>
      </c>
    </row>
    <row r="30" customFormat="false" ht="15" hidden="false" customHeight="false" outlineLevel="0" collapsed="false">
      <c r="A30" s="19" t="s">
        <v>721</v>
      </c>
      <c r="B30" s="30" t="n">
        <f aca="false">B22*B29/B6</f>
        <v>0.0055</v>
      </c>
      <c r="C30" s="30" t="n">
        <f aca="false">C22*C29/C6</f>
        <v>0.0028436581938945</v>
      </c>
      <c r="D30" s="24" t="s">
        <v>722</v>
      </c>
    </row>
    <row r="32" customFormat="false" ht="43.25" hidden="false" customHeight="false" outlineLevel="0" collapsed="false">
      <c r="A32" s="4" t="s">
        <v>723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B52"/>
    <pageSetUpPr fitToPage="false"/>
  </sheetPr>
  <dimension ref="A1:D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12"/>
    <col collapsed="false" customWidth="true" hidden="false" outlineLevel="0" max="4" min="4" style="0" width="60"/>
  </cols>
  <sheetData>
    <row r="1" customFormat="false" ht="21.75" hidden="false" customHeight="true" outlineLevel="0" collapsed="false">
      <c r="A1" s="1" t="s">
        <v>7</v>
      </c>
    </row>
    <row r="2" customFormat="false" ht="15" hidden="false" customHeight="false" outlineLevel="0" collapsed="false">
      <c r="A2" s="2" t="s">
        <v>724</v>
      </c>
    </row>
    <row r="4" customFormat="false" ht="15" hidden="false" customHeight="false" outlineLevel="0" collapsed="false">
      <c r="A4" s="3" t="s">
        <v>725</v>
      </c>
    </row>
    <row r="5" customFormat="false" ht="30" hidden="false" customHeight="true" outlineLevel="0" collapsed="false">
      <c r="A5" s="5" t="s">
        <v>136</v>
      </c>
      <c r="B5" s="5" t="s">
        <v>74</v>
      </c>
      <c r="C5" s="5" t="s">
        <v>75</v>
      </c>
      <c r="D5" s="5" t="s">
        <v>726</v>
      </c>
    </row>
    <row r="6" customFormat="false" ht="15" hidden="false" customHeight="false" outlineLevel="0" collapsed="false">
      <c r="A6" s="7" t="s">
        <v>173</v>
      </c>
      <c r="B6" s="47" t="n">
        <f aca="false">'Historical Spending'!B10</f>
        <v>114</v>
      </c>
      <c r="C6" s="6" t="s">
        <v>91</v>
      </c>
      <c r="D6" s="12" t="s">
        <v>727</v>
      </c>
    </row>
    <row r="7" customFormat="false" ht="15" hidden="false" customHeight="false" outlineLevel="0" collapsed="false">
      <c r="A7" s="7" t="s">
        <v>728</v>
      </c>
      <c r="B7" s="46" t="n">
        <f aca="false">'Historical Spending'!B7</f>
        <v>0.023</v>
      </c>
      <c r="C7" s="6" t="s">
        <v>78</v>
      </c>
      <c r="D7" s="12" t="s">
        <v>729</v>
      </c>
    </row>
    <row r="8" customFormat="false" ht="15" hidden="false" customHeight="false" outlineLevel="0" collapsed="false">
      <c r="A8" s="7" t="s">
        <v>169</v>
      </c>
      <c r="B8" s="46" t="n">
        <f aca="false">'Historical Spending'!B8</f>
        <v>175</v>
      </c>
      <c r="C8" s="6" t="s">
        <v>78</v>
      </c>
      <c r="D8" s="12" t="s">
        <v>730</v>
      </c>
    </row>
    <row r="9" customFormat="false" ht="15" hidden="false" customHeight="false" outlineLevel="0" collapsed="false">
      <c r="A9" s="7" t="s">
        <v>731</v>
      </c>
      <c r="B9" s="47" t="n">
        <f aca="false">'Historical Spending'!B44</f>
        <v>6.4</v>
      </c>
      <c r="C9" s="6" t="s">
        <v>91</v>
      </c>
      <c r="D9" s="12" t="s">
        <v>732</v>
      </c>
    </row>
    <row r="11" customFormat="false" ht="15" hidden="false" customHeight="false" outlineLevel="0" collapsed="false">
      <c r="A11" s="3" t="s">
        <v>733</v>
      </c>
    </row>
    <row r="12" customFormat="false" ht="30" hidden="false" customHeight="true" outlineLevel="0" collapsed="false">
      <c r="A12" s="5" t="s">
        <v>136</v>
      </c>
      <c r="B12" s="5" t="s">
        <v>74</v>
      </c>
      <c r="C12" s="5" t="s">
        <v>75</v>
      </c>
      <c r="D12" s="5" t="s">
        <v>726</v>
      </c>
    </row>
    <row r="13" customFormat="false" ht="15" hidden="false" customHeight="false" outlineLevel="0" collapsed="false">
      <c r="A13" s="7" t="s">
        <v>734</v>
      </c>
      <c r="B13" s="23" t="n">
        <f aca="false">Assumptions!B6</f>
        <v>68</v>
      </c>
      <c r="C13" s="6" t="s">
        <v>78</v>
      </c>
      <c r="D13" s="12" t="s">
        <v>735</v>
      </c>
    </row>
    <row r="14" customFormat="false" ht="15" hidden="false" customHeight="false" outlineLevel="0" collapsed="false">
      <c r="A14" s="7" t="s">
        <v>736</v>
      </c>
      <c r="B14" s="23" t="n">
        <f aca="false">'Forward Model'!G9</f>
        <v>82.3912648425</v>
      </c>
      <c r="C14" s="6" t="s">
        <v>78</v>
      </c>
      <c r="D14" s="12"/>
    </row>
    <row r="15" customFormat="false" ht="15" hidden="false" customHeight="false" outlineLevel="0" collapsed="false">
      <c r="A15" s="7" t="s">
        <v>737</v>
      </c>
      <c r="B15" s="23" t="n">
        <f aca="false">'Forward Model'!L9</f>
        <v>97.3544695481693</v>
      </c>
      <c r="C15" s="6" t="s">
        <v>78</v>
      </c>
      <c r="D15" s="12"/>
    </row>
    <row r="16" customFormat="false" ht="15" hidden="false" customHeight="false" outlineLevel="0" collapsed="false">
      <c r="A16" s="7" t="s">
        <v>140</v>
      </c>
      <c r="B16" s="47" t="n">
        <f aca="false">('Forward Model'!L9/'Forward Model'!C9)^(1/9)-1</f>
        <v>0.0406778986328729</v>
      </c>
      <c r="C16" s="6" t="s">
        <v>91</v>
      </c>
      <c r="D16" s="12" t="s">
        <v>738</v>
      </c>
    </row>
    <row r="17" customFormat="false" ht="15" hidden="false" customHeight="false" outlineLevel="0" collapsed="false">
      <c r="A17" s="7" t="s">
        <v>739</v>
      </c>
      <c r="B17" s="47" t="n">
        <f aca="false">Assumptions!B11</f>
        <v>0.0985294117647059</v>
      </c>
      <c r="C17" s="6" t="s">
        <v>91</v>
      </c>
      <c r="D17" s="12" t="s">
        <v>740</v>
      </c>
    </row>
    <row r="18" customFormat="false" ht="15" hidden="false" customHeight="false" outlineLevel="0" collapsed="false">
      <c r="A18" s="7" t="s">
        <v>741</v>
      </c>
      <c r="B18" s="23" t="n">
        <f aca="false">Scenarios!L5</f>
        <v>81.2245765003887</v>
      </c>
      <c r="C18" s="6" t="s">
        <v>78</v>
      </c>
      <c r="D18" s="12"/>
    </row>
    <row r="19" customFormat="false" ht="15" hidden="false" customHeight="false" outlineLevel="0" collapsed="false">
      <c r="A19" s="7" t="s">
        <v>742</v>
      </c>
      <c r="B19" s="23" t="n">
        <f aca="false">Scenarios!L7</f>
        <v>109.398410585824</v>
      </c>
      <c r="C19" s="6" t="s">
        <v>78</v>
      </c>
      <c r="D19" s="12" t="s">
        <v>743</v>
      </c>
    </row>
    <row r="21" customFormat="false" ht="15" hidden="false" customHeight="false" outlineLevel="0" collapsed="false">
      <c r="A21" s="3" t="s">
        <v>744</v>
      </c>
    </row>
    <row r="22" customFormat="false" ht="30" hidden="false" customHeight="true" outlineLevel="0" collapsed="false">
      <c r="A22" s="5" t="s">
        <v>136</v>
      </c>
      <c r="B22" s="5" t="s">
        <v>74</v>
      </c>
      <c r="C22" s="5" t="s">
        <v>75</v>
      </c>
      <c r="D22" s="5" t="s">
        <v>726</v>
      </c>
    </row>
    <row r="23" customFormat="false" ht="15" hidden="false" customHeight="false" outlineLevel="0" collapsed="false">
      <c r="A23" s="7" t="s">
        <v>421</v>
      </c>
      <c r="B23" s="48" t="n">
        <f aca="false">'Pipe and Assets'!B24</f>
        <v>9.86206896551724</v>
      </c>
      <c r="C23" s="6" t="s">
        <v>684</v>
      </c>
      <c r="D23" s="12" t="s">
        <v>422</v>
      </c>
    </row>
    <row r="24" customFormat="false" ht="15" hidden="false" customHeight="false" outlineLevel="0" collapsed="false">
      <c r="A24" s="7" t="s">
        <v>745</v>
      </c>
      <c r="B24" s="47" t="n">
        <f aca="false">'Pipe and Assets'!B23</f>
        <v>-0.207142857142857</v>
      </c>
      <c r="C24" s="6" t="s">
        <v>91</v>
      </c>
      <c r="D24" s="12" t="s">
        <v>746</v>
      </c>
    </row>
    <row r="25" customFormat="false" ht="15" hidden="false" customHeight="false" outlineLevel="0" collapsed="false">
      <c r="A25" s="7" t="s">
        <v>128</v>
      </c>
      <c r="B25" s="46" t="str">
        <f aca="false">Regulatory!B5</f>
        <v>Value</v>
      </c>
      <c r="C25" s="6" t="s">
        <v>386</v>
      </c>
      <c r="D25" s="12" t="s">
        <v>747</v>
      </c>
    </row>
    <row r="26" customFormat="false" ht="15" hidden="false" customHeight="false" outlineLevel="0" collapsed="false">
      <c r="A26" s="7" t="s">
        <v>748</v>
      </c>
      <c r="B26" s="23" t="n">
        <f aca="false">Regulatory!B11</f>
        <v>15</v>
      </c>
      <c r="C26" s="6" t="s">
        <v>78</v>
      </c>
      <c r="D26" s="12" t="s">
        <v>749</v>
      </c>
    </row>
    <row r="28" customFormat="false" ht="15" hidden="false" customHeight="false" outlineLevel="0" collapsed="false">
      <c r="A28" s="3" t="s">
        <v>750</v>
      </c>
    </row>
    <row r="29" customFormat="false" ht="30" hidden="false" customHeight="true" outlineLevel="0" collapsed="false">
      <c r="A29" s="5" t="s">
        <v>136</v>
      </c>
      <c r="B29" s="5" t="s">
        <v>74</v>
      </c>
      <c r="C29" s="5" t="s">
        <v>75</v>
      </c>
      <c r="D29" s="5" t="s">
        <v>726</v>
      </c>
    </row>
    <row r="30" customFormat="false" ht="15" hidden="false" customHeight="false" outlineLevel="0" collapsed="false">
      <c r="A30" s="7" t="s">
        <v>751</v>
      </c>
      <c r="B30" s="46" t="n">
        <f aca="false">Comparison!B6</f>
        <v>7647</v>
      </c>
      <c r="C30" s="6" t="s">
        <v>546</v>
      </c>
      <c r="D30" s="12" t="s">
        <v>752</v>
      </c>
    </row>
    <row r="31" customFormat="false" ht="15" hidden="false" customHeight="false" outlineLevel="0" collapsed="false">
      <c r="A31" s="7" t="s">
        <v>753</v>
      </c>
      <c r="B31" s="46" t="n">
        <f aca="false">Comparison!C6</f>
        <v>31316</v>
      </c>
      <c r="C31" s="6" t="s">
        <v>546</v>
      </c>
      <c r="D31" s="12" t="s">
        <v>754</v>
      </c>
    </row>
    <row r="32" customFormat="false" ht="15" hidden="false" customHeight="false" outlineLevel="0" collapsed="false">
      <c r="A32" s="7" t="s">
        <v>707</v>
      </c>
      <c r="B32" s="47" t="n">
        <f aca="false">Comparison!B18</f>
        <v>0.378747692307692</v>
      </c>
      <c r="C32" s="6" t="s">
        <v>91</v>
      </c>
      <c r="D32" s="12" t="s">
        <v>755</v>
      </c>
    </row>
    <row r="33" customFormat="false" ht="15" hidden="false" customHeight="false" outlineLevel="0" collapsed="false">
      <c r="A33" s="7" t="s">
        <v>756</v>
      </c>
      <c r="B33" s="47" t="n">
        <f aca="false">Comparison!B25</f>
        <v>0.0044</v>
      </c>
      <c r="C33" s="6" t="s">
        <v>757</v>
      </c>
      <c r="D33" s="12" t="s">
        <v>758</v>
      </c>
    </row>
    <row r="34" customFormat="false" ht="15" hidden="false" customHeight="false" outlineLevel="0" collapsed="false">
      <c r="A34" s="7" t="s">
        <v>759</v>
      </c>
      <c r="B34" s="47" t="n">
        <f aca="false">Comparison!C25</f>
        <v>0.0022749265551156</v>
      </c>
      <c r="C34" s="6" t="s">
        <v>757</v>
      </c>
      <c r="D34" s="12"/>
    </row>
    <row r="36" customFormat="false" ht="64.15" hidden="false" customHeight="false" outlineLevel="0" collapsed="false">
      <c r="A36" s="4" t="s">
        <v>760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8451C"/>
    <pageSetUpPr fitToPage="false"/>
  </sheetPr>
  <dimension ref="A1:E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4" min="3" style="0" width="16"/>
    <col collapsed="false" customWidth="true" hidden="false" outlineLevel="0" max="5" min="5" style="0" width="52"/>
  </cols>
  <sheetData>
    <row r="1" customFormat="false" ht="21.75" hidden="false" customHeight="true" outlineLevel="0" collapsed="false">
      <c r="A1" s="1" t="s">
        <v>761</v>
      </c>
    </row>
    <row r="2" customFormat="false" ht="15" hidden="false" customHeight="false" outlineLevel="0" collapsed="false">
      <c r="A2" s="2" t="s">
        <v>762</v>
      </c>
    </row>
    <row r="4" customFormat="false" ht="15" hidden="false" customHeight="false" outlineLevel="0" collapsed="false">
      <c r="A4" s="3" t="s">
        <v>763</v>
      </c>
    </row>
    <row r="5" customFormat="false" ht="30" hidden="false" customHeight="true" outlineLevel="0" collapsed="false">
      <c r="A5" s="5" t="s">
        <v>764</v>
      </c>
      <c r="B5" s="5" t="s">
        <v>765</v>
      </c>
      <c r="C5" s="5" t="s">
        <v>766</v>
      </c>
      <c r="D5" s="5" t="s">
        <v>767</v>
      </c>
      <c r="E5" s="5" t="s">
        <v>137</v>
      </c>
    </row>
    <row r="6" customFormat="false" ht="32.8" hidden="false" customHeight="false" outlineLevel="0" collapsed="false">
      <c r="A6" s="7" t="s">
        <v>768</v>
      </c>
      <c r="B6" s="7" t="s">
        <v>769</v>
      </c>
      <c r="C6" s="6" t="s">
        <v>770</v>
      </c>
      <c r="D6" s="7" t="s">
        <v>771</v>
      </c>
      <c r="E6" s="12" t="s">
        <v>772</v>
      </c>
    </row>
    <row r="7" customFormat="false" ht="32.8" hidden="false" customHeight="false" outlineLevel="0" collapsed="false">
      <c r="A7" s="19" t="s">
        <v>773</v>
      </c>
      <c r="B7" s="19" t="s">
        <v>774</v>
      </c>
      <c r="C7" s="33" t="s">
        <v>775</v>
      </c>
      <c r="D7" s="19" t="s">
        <v>776</v>
      </c>
      <c r="E7" s="24" t="s">
        <v>777</v>
      </c>
    </row>
    <row r="8" customFormat="false" ht="43.25" hidden="false" customHeight="false" outlineLevel="0" collapsed="false">
      <c r="A8" s="4" t="s">
        <v>778</v>
      </c>
    </row>
    <row r="11" customFormat="false" ht="15" hidden="false" customHeight="false" outlineLevel="0" collapsed="false">
      <c r="A11" s="3" t="s">
        <v>779</v>
      </c>
    </row>
    <row r="12" customFormat="false" ht="30" hidden="false" customHeight="true" outlineLevel="0" collapsed="false">
      <c r="A12" s="5" t="s">
        <v>780</v>
      </c>
      <c r="B12" s="5" t="s">
        <v>781</v>
      </c>
      <c r="C12" s="5" t="s">
        <v>766</v>
      </c>
      <c r="D12" s="5" t="s">
        <v>782</v>
      </c>
      <c r="E12" s="5" t="s">
        <v>783</v>
      </c>
    </row>
    <row r="13" customFormat="false" ht="32.8" hidden="false" customHeight="false" outlineLevel="0" collapsed="false">
      <c r="A13" s="7" t="s">
        <v>784</v>
      </c>
      <c r="B13" s="6" t="s">
        <v>785</v>
      </c>
      <c r="C13" s="6" t="s">
        <v>786</v>
      </c>
      <c r="D13" s="6" t="s">
        <v>787</v>
      </c>
      <c r="E13" s="12" t="s">
        <v>788</v>
      </c>
    </row>
    <row r="14" customFormat="false" ht="22.35" hidden="false" customHeight="false" outlineLevel="0" collapsed="false">
      <c r="A14" s="7" t="s">
        <v>789</v>
      </c>
      <c r="B14" s="6" t="s">
        <v>790</v>
      </c>
      <c r="C14" s="6" t="s">
        <v>791</v>
      </c>
      <c r="D14" s="6" t="s">
        <v>787</v>
      </c>
      <c r="E14" s="12" t="s">
        <v>792</v>
      </c>
    </row>
    <row r="15" customFormat="false" ht="32.8" hidden="false" customHeight="false" outlineLevel="0" collapsed="false">
      <c r="A15" s="7" t="s">
        <v>793</v>
      </c>
      <c r="B15" s="6" t="s">
        <v>794</v>
      </c>
      <c r="C15" s="6" t="s">
        <v>795</v>
      </c>
      <c r="D15" s="6" t="s">
        <v>787</v>
      </c>
      <c r="E15" s="12" t="s">
        <v>796</v>
      </c>
    </row>
    <row r="16" customFormat="false" ht="35.05" hidden="false" customHeight="false" outlineLevel="0" collapsed="false">
      <c r="A16" s="7" t="s">
        <v>797</v>
      </c>
      <c r="B16" s="6" t="s">
        <v>798</v>
      </c>
      <c r="C16" s="6" t="s">
        <v>799</v>
      </c>
      <c r="D16" s="6" t="s">
        <v>787</v>
      </c>
      <c r="E16" s="12" t="s">
        <v>800</v>
      </c>
    </row>
    <row r="18" customFormat="false" ht="15" hidden="false" customHeight="false" outlineLevel="0" collapsed="false">
      <c r="A18" s="3" t="s">
        <v>801</v>
      </c>
    </row>
    <row r="19" customFormat="false" ht="30" hidden="false" customHeight="true" outlineLevel="0" collapsed="false">
      <c r="A19" s="5" t="s">
        <v>780</v>
      </c>
      <c r="B19" s="5" t="s">
        <v>781</v>
      </c>
      <c r="C19" s="5" t="s">
        <v>766</v>
      </c>
      <c r="D19" s="5" t="s">
        <v>782</v>
      </c>
      <c r="E19" s="5" t="s">
        <v>783</v>
      </c>
    </row>
    <row r="20" customFormat="false" ht="35.05" hidden="false" customHeight="false" outlineLevel="0" collapsed="false">
      <c r="A20" s="7" t="s">
        <v>802</v>
      </c>
      <c r="B20" s="6" t="s">
        <v>803</v>
      </c>
      <c r="C20" s="6" t="s">
        <v>804</v>
      </c>
      <c r="D20" s="6" t="s">
        <v>787</v>
      </c>
      <c r="E20" s="12" t="s">
        <v>805</v>
      </c>
    </row>
    <row r="21" customFormat="false" ht="35.05" hidden="false" customHeight="false" outlineLevel="0" collapsed="false">
      <c r="A21" s="7" t="s">
        <v>806</v>
      </c>
      <c r="B21" s="6" t="s">
        <v>807</v>
      </c>
      <c r="C21" s="6" t="s">
        <v>804</v>
      </c>
      <c r="D21" s="6" t="s">
        <v>787</v>
      </c>
      <c r="E21" s="12" t="s">
        <v>808</v>
      </c>
    </row>
    <row r="22" customFormat="false" ht="32.8" hidden="false" customHeight="false" outlineLevel="0" collapsed="false">
      <c r="A22" s="7" t="s">
        <v>809</v>
      </c>
      <c r="B22" s="6" t="s">
        <v>810</v>
      </c>
      <c r="C22" s="6" t="s">
        <v>811</v>
      </c>
      <c r="D22" s="6" t="s">
        <v>787</v>
      </c>
      <c r="E22" s="12" t="s">
        <v>812</v>
      </c>
    </row>
    <row r="23" customFormat="false" ht="23.85" hidden="false" customHeight="false" outlineLevel="0" collapsed="false">
      <c r="A23" s="7" t="s">
        <v>813</v>
      </c>
      <c r="B23" s="6" t="s">
        <v>814</v>
      </c>
      <c r="C23" s="6" t="s">
        <v>815</v>
      </c>
      <c r="D23" s="6" t="s">
        <v>787</v>
      </c>
      <c r="E23" s="12" t="s">
        <v>816</v>
      </c>
    </row>
    <row r="24" customFormat="false" ht="23.85" hidden="false" customHeight="false" outlineLevel="0" collapsed="false">
      <c r="A24" s="7" t="s">
        <v>528</v>
      </c>
      <c r="B24" s="6" t="s">
        <v>817</v>
      </c>
      <c r="C24" s="6" t="s">
        <v>818</v>
      </c>
      <c r="D24" s="6" t="s">
        <v>787</v>
      </c>
      <c r="E24" s="12" t="s">
        <v>819</v>
      </c>
    </row>
    <row r="26" customFormat="false" ht="15" hidden="false" customHeight="false" outlineLevel="0" collapsed="false">
      <c r="A26" s="3" t="s">
        <v>820</v>
      </c>
    </row>
    <row r="27" customFormat="false" ht="30" hidden="false" customHeight="true" outlineLevel="0" collapsed="false">
      <c r="A27" s="5" t="s">
        <v>162</v>
      </c>
      <c r="B27" s="5" t="s">
        <v>821</v>
      </c>
      <c r="C27" s="5" t="s">
        <v>822</v>
      </c>
      <c r="D27" s="5"/>
      <c r="E27" s="5" t="s">
        <v>823</v>
      </c>
    </row>
    <row r="28" customFormat="false" ht="23.85" hidden="false" customHeight="false" outlineLevel="0" collapsed="false">
      <c r="A28" s="7" t="s">
        <v>824</v>
      </c>
      <c r="B28" s="6" t="s">
        <v>825</v>
      </c>
      <c r="C28" s="6" t="s">
        <v>826</v>
      </c>
      <c r="D28" s="6"/>
      <c r="E28" s="12" t="s">
        <v>827</v>
      </c>
    </row>
    <row r="29" customFormat="false" ht="23.85" hidden="false" customHeight="false" outlineLevel="0" collapsed="false">
      <c r="A29" s="7" t="s">
        <v>828</v>
      </c>
      <c r="B29" s="6" t="s">
        <v>829</v>
      </c>
      <c r="C29" s="6" t="s">
        <v>830</v>
      </c>
      <c r="D29" s="6"/>
      <c r="E29" s="12" t="s">
        <v>831</v>
      </c>
    </row>
    <row r="30" customFormat="false" ht="23.85" hidden="false" customHeight="false" outlineLevel="0" collapsed="false">
      <c r="A30" s="7" t="s">
        <v>475</v>
      </c>
      <c r="B30" s="6" t="s">
        <v>832</v>
      </c>
      <c r="C30" s="6" t="s">
        <v>833</v>
      </c>
      <c r="D30" s="6"/>
      <c r="E30" s="12" t="s">
        <v>834</v>
      </c>
    </row>
    <row r="31" customFormat="false" ht="23.85" hidden="false" customHeight="false" outlineLevel="0" collapsed="false">
      <c r="A31" s="7" t="s">
        <v>835</v>
      </c>
      <c r="B31" s="6" t="s">
        <v>836</v>
      </c>
      <c r="C31" s="6" t="s">
        <v>833</v>
      </c>
      <c r="D31" s="6"/>
      <c r="E31" s="12" t="s">
        <v>837</v>
      </c>
    </row>
    <row r="33" customFormat="false" ht="15" hidden="false" customHeight="false" outlineLevel="0" collapsed="false">
      <c r="A33" s="3" t="s">
        <v>838</v>
      </c>
    </row>
    <row r="34" customFormat="false" ht="30" hidden="false" customHeight="true" outlineLevel="0" collapsed="false">
      <c r="A34" s="5" t="s">
        <v>233</v>
      </c>
      <c r="B34" s="5" t="s">
        <v>839</v>
      </c>
      <c r="C34" s="5"/>
      <c r="D34" s="5"/>
      <c r="E34" s="5" t="s">
        <v>137</v>
      </c>
    </row>
    <row r="35" customFormat="false" ht="23.85" hidden="false" customHeight="false" outlineLevel="0" collapsed="false">
      <c r="A35" s="7" t="s">
        <v>840</v>
      </c>
      <c r="B35" s="7" t="s">
        <v>841</v>
      </c>
      <c r="C35" s="6"/>
      <c r="D35" s="6"/>
      <c r="E35" s="12" t="s">
        <v>842</v>
      </c>
    </row>
    <row r="36" customFormat="false" ht="15" hidden="false" customHeight="false" outlineLevel="0" collapsed="false">
      <c r="A36" s="7" t="s">
        <v>843</v>
      </c>
      <c r="B36" s="7" t="s">
        <v>841</v>
      </c>
      <c r="C36" s="6"/>
      <c r="D36" s="6"/>
      <c r="E36" s="12" t="s">
        <v>844</v>
      </c>
    </row>
    <row r="37" customFormat="false" ht="32.8" hidden="false" customHeight="false" outlineLevel="0" collapsed="false">
      <c r="A37" s="7" t="s">
        <v>845</v>
      </c>
      <c r="B37" s="7" t="s">
        <v>846</v>
      </c>
      <c r="C37" s="6"/>
      <c r="D37" s="6"/>
      <c r="E37" s="12" t="s">
        <v>847</v>
      </c>
    </row>
    <row r="38" customFormat="false" ht="15" hidden="false" customHeight="false" outlineLevel="0" collapsed="false">
      <c r="A38" s="7" t="s">
        <v>848</v>
      </c>
      <c r="B38" s="7" t="s">
        <v>849</v>
      </c>
      <c r="C38" s="6"/>
      <c r="D38" s="6"/>
      <c r="E38" s="12" t="s">
        <v>850</v>
      </c>
    </row>
    <row r="40" customFormat="false" ht="15" hidden="false" customHeight="false" outlineLevel="0" collapsed="false">
      <c r="A40" s="3" t="s">
        <v>851</v>
      </c>
    </row>
    <row r="41" customFormat="false" ht="30" hidden="false" customHeight="true" outlineLevel="0" collapsed="false">
      <c r="A41" s="5" t="s">
        <v>267</v>
      </c>
      <c r="B41" s="5" t="s">
        <v>852</v>
      </c>
      <c r="C41" s="5"/>
      <c r="D41" s="5"/>
      <c r="E41" s="5" t="s">
        <v>853</v>
      </c>
    </row>
    <row r="42" customFormat="false" ht="23.85" hidden="false" customHeight="false" outlineLevel="0" collapsed="false">
      <c r="A42" s="7" t="s">
        <v>854</v>
      </c>
      <c r="B42" s="6" t="s">
        <v>855</v>
      </c>
      <c r="C42" s="6"/>
      <c r="D42" s="6"/>
      <c r="E42" s="12" t="s">
        <v>856</v>
      </c>
    </row>
    <row r="43" customFormat="false" ht="23.85" hidden="false" customHeight="false" outlineLevel="0" collapsed="false">
      <c r="A43" s="7" t="s">
        <v>857</v>
      </c>
      <c r="B43" s="6" t="s">
        <v>858</v>
      </c>
      <c r="C43" s="6"/>
      <c r="D43" s="6"/>
      <c r="E43" s="12" t="s">
        <v>859</v>
      </c>
    </row>
    <row r="44" customFormat="false" ht="15" hidden="false" customHeight="false" outlineLevel="0" collapsed="false">
      <c r="A44" s="7" t="s">
        <v>860</v>
      </c>
      <c r="B44" s="6" t="s">
        <v>861</v>
      </c>
      <c r="C44" s="6"/>
      <c r="D44" s="6"/>
      <c r="E44" s="12" t="s">
        <v>862</v>
      </c>
    </row>
    <row r="45" customFormat="false" ht="23.85" hidden="false" customHeight="false" outlineLevel="0" collapsed="false">
      <c r="A45" s="7" t="s">
        <v>863</v>
      </c>
      <c r="B45" s="6" t="s">
        <v>864</v>
      </c>
      <c r="C45" s="6"/>
      <c r="D45" s="6"/>
      <c r="E45" s="12" t="s">
        <v>865</v>
      </c>
    </row>
    <row r="46" customFormat="false" ht="23.85" hidden="false" customHeight="false" outlineLevel="0" collapsed="false">
      <c r="A46" s="7" t="s">
        <v>866</v>
      </c>
      <c r="B46" s="6" t="s">
        <v>867</v>
      </c>
      <c r="C46" s="6"/>
      <c r="D46" s="6"/>
      <c r="E46" s="12" t="s">
        <v>868</v>
      </c>
    </row>
    <row r="48" customFormat="false" ht="116.4" hidden="false" customHeight="false" outlineLevel="0" collapsed="false">
      <c r="A48" s="4" t="s">
        <v>869</v>
      </c>
    </row>
    <row r="50" customFormat="false" ht="85.05" hidden="false" customHeight="false" outlineLevel="0" collapsed="false">
      <c r="A50" s="4" t="s">
        <v>870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K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10" min="2" style="0" width="13"/>
    <col collapsed="false" customWidth="true" hidden="false" outlineLevel="0" max="11" min="11" style="0" width="40"/>
  </cols>
  <sheetData>
    <row r="1" customFormat="false" ht="21.75" hidden="false" customHeight="true" outlineLevel="0" collapsed="false">
      <c r="A1" s="1" t="s">
        <v>871</v>
      </c>
    </row>
    <row r="2" customFormat="false" ht="15" hidden="false" customHeight="false" outlineLevel="0" collapsed="false">
      <c r="A2" s="2" t="s">
        <v>872</v>
      </c>
    </row>
    <row r="4" customFormat="false" ht="15" hidden="false" customHeight="false" outlineLevel="0" collapsed="false">
      <c r="A4" s="3" t="s">
        <v>873</v>
      </c>
    </row>
    <row r="5" customFormat="false" ht="30" hidden="false" customHeight="true" outlineLevel="0" collapsed="false">
      <c r="A5" s="5" t="s">
        <v>546</v>
      </c>
      <c r="B5" s="5" t="s">
        <v>235</v>
      </c>
      <c r="C5" s="5" t="s">
        <v>874</v>
      </c>
      <c r="D5" s="5" t="s">
        <v>875</v>
      </c>
      <c r="E5" s="5" t="s">
        <v>876</v>
      </c>
      <c r="F5" s="5" t="s">
        <v>243</v>
      </c>
      <c r="G5" s="5"/>
      <c r="H5" s="5"/>
      <c r="I5" s="5"/>
      <c r="J5" s="5"/>
      <c r="K5" s="5" t="s">
        <v>162</v>
      </c>
    </row>
    <row r="6" customFormat="false" ht="15" hidden="false" customHeight="false" outlineLevel="0" collapsed="false">
      <c r="A6" s="7" t="s">
        <v>877</v>
      </c>
      <c r="B6" s="12" t="s">
        <v>878</v>
      </c>
      <c r="C6" s="12" t="s">
        <v>879</v>
      </c>
      <c r="D6" s="12" t="s">
        <v>880</v>
      </c>
      <c r="E6" s="12" t="s">
        <v>881</v>
      </c>
      <c r="F6" s="12" t="s">
        <v>882</v>
      </c>
      <c r="G6" s="12"/>
      <c r="H6" s="12"/>
      <c r="I6" s="12"/>
      <c r="J6" s="12"/>
      <c r="K6" s="12" t="s">
        <v>883</v>
      </c>
    </row>
    <row r="7" customFormat="false" ht="15" hidden="false" customHeight="false" outlineLevel="0" collapsed="false">
      <c r="A7" s="7" t="s">
        <v>552</v>
      </c>
      <c r="B7" s="31" t="n">
        <v>5004</v>
      </c>
      <c r="C7" s="31" t="n">
        <v>6651</v>
      </c>
      <c r="D7" s="31" t="n">
        <v>6702</v>
      </c>
      <c r="E7" s="31" t="n">
        <v>7441</v>
      </c>
      <c r="F7" s="31" t="n">
        <v>7647</v>
      </c>
      <c r="G7" s="31"/>
      <c r="H7" s="31"/>
      <c r="I7" s="31"/>
      <c r="J7" s="31"/>
      <c r="K7" s="49" t="s">
        <v>884</v>
      </c>
    </row>
    <row r="8" customFormat="false" ht="15" hidden="false" customHeight="false" outlineLevel="0" collapsed="false">
      <c r="A8" s="6" t="s">
        <v>554</v>
      </c>
      <c r="B8" s="26"/>
      <c r="C8" s="26" t="n">
        <f aca="false">C7/B7-1</f>
        <v>0.329136690647482</v>
      </c>
      <c r="D8" s="26" t="n">
        <f aca="false">D7/C7-1</f>
        <v>0.00766801984663967</v>
      </c>
      <c r="E8" s="26" t="n">
        <f aca="false">E7/D7-1</f>
        <v>0.110265592360489</v>
      </c>
      <c r="F8" s="26" t="n">
        <f aca="false">F7/E7-1</f>
        <v>0.0276844510146486</v>
      </c>
      <c r="G8" s="26"/>
      <c r="H8" s="26"/>
      <c r="I8" s="26"/>
      <c r="J8" s="26"/>
      <c r="K8" s="12" t="s">
        <v>271</v>
      </c>
    </row>
    <row r="9" customFormat="false" ht="15" hidden="false" customHeight="false" outlineLevel="0" collapsed="false">
      <c r="A9" s="7" t="s">
        <v>555</v>
      </c>
      <c r="B9" s="31" t="n">
        <v>1280</v>
      </c>
      <c r="C9" s="31" t="n">
        <v>1795</v>
      </c>
      <c r="D9" s="31" t="n">
        <v>1818</v>
      </c>
      <c r="E9" s="31" t="n">
        <v>1980</v>
      </c>
      <c r="F9" s="31" t="n">
        <v>2059</v>
      </c>
      <c r="G9" s="31"/>
      <c r="H9" s="31"/>
      <c r="I9" s="31"/>
      <c r="J9" s="31"/>
      <c r="K9" s="6"/>
    </row>
    <row r="10" customFormat="false" ht="15" hidden="false" customHeight="false" outlineLevel="0" collapsed="false">
      <c r="A10" s="6" t="s">
        <v>557</v>
      </c>
      <c r="B10" s="26" t="n">
        <f aca="false">B9/B7</f>
        <v>0.255795363709033</v>
      </c>
      <c r="C10" s="26" t="n">
        <f aca="false">C9/C7</f>
        <v>0.269884227935649</v>
      </c>
      <c r="D10" s="26" t="n">
        <f aca="false">D9/D7</f>
        <v>0.271262309758281</v>
      </c>
      <c r="E10" s="26" t="n">
        <f aca="false">E9/E7</f>
        <v>0.266093267034001</v>
      </c>
      <c r="F10" s="26" t="n">
        <f aca="false">F9/F7</f>
        <v>0.26925591735321</v>
      </c>
      <c r="G10" s="26"/>
      <c r="H10" s="26"/>
      <c r="I10" s="26"/>
      <c r="J10" s="26"/>
      <c r="K10" s="12" t="s">
        <v>271</v>
      </c>
    </row>
    <row r="11" customFormat="false" ht="15" hidden="false" customHeight="false" outlineLevel="0" collapsed="false">
      <c r="A11" s="7" t="s">
        <v>558</v>
      </c>
      <c r="B11" s="31" t="n">
        <v>604</v>
      </c>
      <c r="C11" s="31" t="n">
        <v>918</v>
      </c>
      <c r="D11" s="31" t="n">
        <v>889</v>
      </c>
      <c r="E11" s="31" t="n">
        <v>905</v>
      </c>
      <c r="F11" s="31" t="n">
        <v>913</v>
      </c>
      <c r="G11" s="31"/>
      <c r="H11" s="31"/>
      <c r="I11" s="31"/>
      <c r="J11" s="31"/>
      <c r="K11" s="12" t="s">
        <v>885</v>
      </c>
    </row>
    <row r="12" customFormat="false" ht="15" hidden="false" customHeight="false" outlineLevel="0" collapsed="false">
      <c r="A12" s="6" t="s">
        <v>560</v>
      </c>
      <c r="B12" s="26" t="n">
        <f aca="false">B11/B7</f>
        <v>0.1207034372502</v>
      </c>
      <c r="C12" s="26" t="n">
        <f aca="false">C11/C7</f>
        <v>0.138024357239513</v>
      </c>
      <c r="D12" s="26" t="n">
        <f aca="false">D11/D7</f>
        <v>0.132646971053417</v>
      </c>
      <c r="E12" s="26" t="n">
        <f aca="false">E11/E7</f>
        <v>0.121623437709985</v>
      </c>
      <c r="F12" s="26" t="n">
        <f aca="false">F11/F7</f>
        <v>0.119393226101739</v>
      </c>
      <c r="G12" s="26"/>
      <c r="H12" s="26"/>
      <c r="I12" s="26"/>
      <c r="J12" s="26"/>
      <c r="K12" s="12" t="s">
        <v>271</v>
      </c>
    </row>
    <row r="13" customFormat="false" ht="15" hidden="false" customHeight="false" outlineLevel="0" collapsed="false">
      <c r="A13" s="7" t="s">
        <v>561</v>
      </c>
      <c r="B13" s="31" t="n">
        <v>425</v>
      </c>
      <c r="C13" s="31" t="n">
        <v>775</v>
      </c>
      <c r="D13" s="31" t="n">
        <v>740</v>
      </c>
      <c r="E13" s="31" t="n">
        <v>719</v>
      </c>
      <c r="F13" s="31" t="n">
        <v>722</v>
      </c>
      <c r="G13" s="31"/>
      <c r="H13" s="31"/>
      <c r="I13" s="31"/>
      <c r="J13" s="31"/>
      <c r="K13" s="6"/>
    </row>
    <row r="14" customFormat="false" ht="15" hidden="false" customHeight="false" outlineLevel="0" collapsed="false">
      <c r="A14" s="7" t="s">
        <v>562</v>
      </c>
      <c r="B14" s="31" t="n">
        <v>225</v>
      </c>
      <c r="C14" s="31" t="n">
        <v>366</v>
      </c>
      <c r="D14" s="31" t="n">
        <v>371</v>
      </c>
      <c r="E14" s="31" t="n">
        <v>434</v>
      </c>
      <c r="F14" s="31" t="n">
        <v>462</v>
      </c>
      <c r="G14" s="31"/>
      <c r="H14" s="31"/>
      <c r="I14" s="31"/>
      <c r="J14" s="31"/>
      <c r="K14" s="6"/>
    </row>
    <row r="15" customFormat="false" ht="15" hidden="false" customHeight="false" outlineLevel="0" collapsed="false">
      <c r="A15" s="7" t="s">
        <v>563</v>
      </c>
      <c r="B15" s="42" t="n">
        <v>0.55</v>
      </c>
      <c r="C15" s="42" t="n">
        <v>2.13</v>
      </c>
      <c r="D15" s="42" t="n">
        <v>2.15</v>
      </c>
      <c r="E15" s="42" t="n">
        <v>2.13</v>
      </c>
      <c r="F15" s="42" t="n">
        <v>2.31</v>
      </c>
      <c r="G15" s="42"/>
      <c r="H15" s="42"/>
      <c r="I15" s="42"/>
      <c r="J15" s="42"/>
      <c r="K15" s="6"/>
    </row>
    <row r="16" customFormat="false" ht="15" hidden="false" customHeight="false" outlineLevel="0" collapsed="false">
      <c r="A16" s="7" t="s">
        <v>886</v>
      </c>
      <c r="B16" s="31" t="n">
        <v>-31</v>
      </c>
      <c r="C16" s="31" t="n">
        <v>401</v>
      </c>
      <c r="D16" s="31" t="n">
        <v>1069</v>
      </c>
      <c r="E16" s="31" t="n">
        <v>621</v>
      </c>
      <c r="F16" s="31" t="n">
        <v>650</v>
      </c>
      <c r="G16" s="31"/>
      <c r="H16" s="31"/>
      <c r="I16" s="31"/>
      <c r="J16" s="31"/>
      <c r="K16" s="6"/>
    </row>
    <row r="17" customFormat="false" ht="15" hidden="false" customHeight="false" outlineLevel="0" collapsed="false">
      <c r="A17" s="7" t="s">
        <v>887</v>
      </c>
      <c r="B17" s="31" t="n">
        <v>20</v>
      </c>
      <c r="C17" s="31" t="n">
        <v>25</v>
      </c>
      <c r="D17" s="31" t="n">
        <v>39</v>
      </c>
      <c r="E17" s="31" t="n">
        <v>35</v>
      </c>
      <c r="F17" s="31" t="n">
        <v>46</v>
      </c>
      <c r="G17" s="31"/>
      <c r="H17" s="31"/>
      <c r="I17" s="31"/>
      <c r="J17" s="31"/>
      <c r="K17" s="12" t="s">
        <v>888</v>
      </c>
    </row>
    <row r="18" customFormat="false" ht="22.35" hidden="false" customHeight="false" outlineLevel="0" collapsed="false">
      <c r="A18" s="7" t="s">
        <v>889</v>
      </c>
      <c r="B18" s="27" t="n">
        <f aca="false">B16-B17</f>
        <v>-51</v>
      </c>
      <c r="C18" s="27" t="n">
        <f aca="false">C16-C17</f>
        <v>376</v>
      </c>
      <c r="D18" s="27" t="n">
        <f aca="false">D16-D17</f>
        <v>1030</v>
      </c>
      <c r="E18" s="27" t="n">
        <f aca="false">E16-E17</f>
        <v>586</v>
      </c>
      <c r="F18" s="27" t="n">
        <f aca="false">F16-F17</f>
        <v>604</v>
      </c>
      <c r="G18" s="27"/>
      <c r="H18" s="27"/>
      <c r="I18" s="27"/>
      <c r="J18" s="27"/>
      <c r="K18" s="12" t="s">
        <v>890</v>
      </c>
    </row>
    <row r="19" customFormat="false" ht="15" hidden="false" customHeight="false" outlineLevel="0" collapsed="false">
      <c r="A19" s="6" t="s">
        <v>891</v>
      </c>
      <c r="B19" s="26" t="n">
        <f aca="false">IF(B11=0,0,B18/B11)</f>
        <v>-0.0844370860927152</v>
      </c>
      <c r="C19" s="26" t="n">
        <f aca="false">IF(C11=0,0,C18/C11)</f>
        <v>0.40958605664488</v>
      </c>
      <c r="D19" s="26" t="n">
        <f aca="false">IF(D11=0,0,D18/D11)</f>
        <v>1.15860517435321</v>
      </c>
      <c r="E19" s="26" t="n">
        <f aca="false">IF(E11=0,0,E18/E11)</f>
        <v>0.647513812154696</v>
      </c>
      <c r="F19" s="26" t="n">
        <f aca="false">IF(F11=0,0,F18/F11)</f>
        <v>0.661555312157722</v>
      </c>
      <c r="G19" s="26"/>
      <c r="H19" s="26"/>
      <c r="I19" s="26"/>
      <c r="J19" s="26"/>
      <c r="K19" s="12" t="s">
        <v>271</v>
      </c>
    </row>
    <row r="20" customFormat="false" ht="15" hidden="false" customHeight="false" outlineLevel="0" collapsed="false">
      <c r="A20" s="6" t="s">
        <v>892</v>
      </c>
      <c r="B20" s="26" t="n">
        <f aca="false">B17/B7</f>
        <v>0.00399680255795364</v>
      </c>
      <c r="C20" s="26" t="n">
        <f aca="false">C17/C7</f>
        <v>0.00375883325815667</v>
      </c>
      <c r="D20" s="26" t="n">
        <f aca="false">D17/D7</f>
        <v>0.00581915846016115</v>
      </c>
      <c r="E20" s="26" t="n">
        <f aca="false">E17/E7</f>
        <v>0.00470366886171214</v>
      </c>
      <c r="F20" s="26" t="n">
        <f aca="false">F17/F7</f>
        <v>0.00601543088792991</v>
      </c>
      <c r="G20" s="26"/>
      <c r="H20" s="26"/>
      <c r="I20" s="26"/>
      <c r="J20" s="26"/>
      <c r="K20" s="12" t="s">
        <v>893</v>
      </c>
    </row>
    <row r="22" customFormat="false" ht="32.8" hidden="false" customHeight="false" outlineLevel="0" collapsed="false">
      <c r="A22" s="4" t="s">
        <v>894</v>
      </c>
    </row>
    <row r="24" customFormat="false" ht="15" hidden="false" customHeight="false" outlineLevel="0" collapsed="false">
      <c r="A24" s="3" t="s">
        <v>895</v>
      </c>
    </row>
    <row r="25" customFormat="false" ht="30" hidden="false" customHeight="true" outlineLevel="0" collapsed="false">
      <c r="A25" s="5" t="s">
        <v>546</v>
      </c>
      <c r="B25" s="5" t="s">
        <v>896</v>
      </c>
      <c r="C25" s="5" t="s">
        <v>897</v>
      </c>
      <c r="D25" s="5" t="s">
        <v>898</v>
      </c>
      <c r="E25" s="5" t="s">
        <v>235</v>
      </c>
      <c r="F25" s="5" t="s">
        <v>874</v>
      </c>
      <c r="G25" s="5" t="s">
        <v>875</v>
      </c>
      <c r="H25" s="5" t="s">
        <v>876</v>
      </c>
      <c r="I25" s="5" t="s">
        <v>243</v>
      </c>
      <c r="J25" s="5" t="s">
        <v>899</v>
      </c>
      <c r="K25" s="5" t="s">
        <v>162</v>
      </c>
    </row>
    <row r="26" customFormat="false" ht="15" hidden="false" customHeight="false" outlineLevel="0" collapsed="false">
      <c r="A26" s="7" t="s">
        <v>877</v>
      </c>
      <c r="B26" s="12" t="s">
        <v>900</v>
      </c>
      <c r="C26" s="12" t="s">
        <v>901</v>
      </c>
      <c r="D26" s="12" t="s">
        <v>902</v>
      </c>
      <c r="E26" s="12" t="s">
        <v>903</v>
      </c>
      <c r="F26" s="12" t="s">
        <v>904</v>
      </c>
      <c r="G26" s="12" t="s">
        <v>905</v>
      </c>
      <c r="H26" s="12" t="s">
        <v>906</v>
      </c>
      <c r="I26" s="12" t="s">
        <v>907</v>
      </c>
      <c r="J26" s="12" t="s">
        <v>908</v>
      </c>
      <c r="K26" s="12" t="s">
        <v>883</v>
      </c>
    </row>
    <row r="27" customFormat="false" ht="15" hidden="false" customHeight="false" outlineLevel="0" collapsed="false">
      <c r="A27" s="7" t="s">
        <v>552</v>
      </c>
      <c r="B27" s="31" t="n">
        <v>20752</v>
      </c>
      <c r="C27" s="31" t="n">
        <v>22010</v>
      </c>
      <c r="D27" s="31" t="n">
        <v>21819</v>
      </c>
      <c r="E27" s="31" t="n">
        <v>22792</v>
      </c>
      <c r="F27" s="31" t="n">
        <v>28566</v>
      </c>
      <c r="G27" s="31" t="n">
        <v>29734</v>
      </c>
      <c r="H27" s="31" t="n">
        <v>29635</v>
      </c>
      <c r="I27" s="31" t="n">
        <v>30762</v>
      </c>
      <c r="J27" s="31" t="n">
        <v>31316</v>
      </c>
      <c r="K27" s="6"/>
    </row>
    <row r="28" customFormat="false" ht="22.35" hidden="false" customHeight="false" outlineLevel="0" collapsed="false">
      <c r="A28" s="6" t="s">
        <v>554</v>
      </c>
      <c r="B28" s="26"/>
      <c r="C28" s="26" t="n">
        <f aca="false">C27/B27-1</f>
        <v>0.0606206630686199</v>
      </c>
      <c r="D28" s="26" t="n">
        <f aca="false">D27/C27-1</f>
        <v>-0.0086778736937756</v>
      </c>
      <c r="E28" s="26" t="n">
        <f aca="false">E27/D27-1</f>
        <v>0.044594161052294</v>
      </c>
      <c r="F28" s="26" t="n">
        <f aca="false">F27/E27-1</f>
        <v>0.253334503334503</v>
      </c>
      <c r="G28" s="26" t="n">
        <f aca="false">G27/F27-1</f>
        <v>0.0408877686760485</v>
      </c>
      <c r="H28" s="26" t="n">
        <f aca="false">H27/G27-1</f>
        <v>-0.00332952175960177</v>
      </c>
      <c r="I28" s="26" t="n">
        <f aca="false">I27/H27-1</f>
        <v>0.0380293571790114</v>
      </c>
      <c r="J28" s="26" t="n">
        <f aca="false">J27/I27-1</f>
        <v>0.0180092321695597</v>
      </c>
      <c r="K28" s="12" t="s">
        <v>909</v>
      </c>
    </row>
    <row r="29" customFormat="false" ht="15" hidden="false" customHeight="false" outlineLevel="0" collapsed="false">
      <c r="A29" s="7" t="s">
        <v>555</v>
      </c>
      <c r="B29" s="31" t="n">
        <v>6044</v>
      </c>
      <c r="C29" s="31" t="n">
        <v>6458</v>
      </c>
      <c r="D29" s="31" t="n">
        <v>6421</v>
      </c>
      <c r="E29" s="31" t="n">
        <v>6980</v>
      </c>
      <c r="F29" s="31" t="n">
        <v>8756</v>
      </c>
      <c r="G29" s="31" t="n">
        <v>9025</v>
      </c>
      <c r="H29" s="31" t="n">
        <v>9053</v>
      </c>
      <c r="I29" s="31" t="n">
        <v>9435</v>
      </c>
      <c r="J29" s="31" t="n">
        <v>9708</v>
      </c>
      <c r="K29" s="6"/>
    </row>
    <row r="30" customFormat="false" ht="15" hidden="false" customHeight="false" outlineLevel="0" collapsed="false">
      <c r="A30" s="6" t="s">
        <v>557</v>
      </c>
      <c r="B30" s="26" t="n">
        <f aca="false">B29/B27</f>
        <v>0.291249036237471</v>
      </c>
      <c r="C30" s="26" t="n">
        <f aca="false">C29/C27</f>
        <v>0.29341208541572</v>
      </c>
      <c r="D30" s="26" t="n">
        <f aca="false">D29/D27</f>
        <v>0.294284797653421</v>
      </c>
      <c r="E30" s="26" t="n">
        <f aca="false">E29/E27</f>
        <v>0.306247806247806</v>
      </c>
      <c r="F30" s="26" t="n">
        <f aca="false">F29/F27</f>
        <v>0.306518238465308</v>
      </c>
      <c r="G30" s="26" t="n">
        <f aca="false">G29/G27</f>
        <v>0.303524584650568</v>
      </c>
      <c r="H30" s="26" t="n">
        <f aca="false">H29/H27</f>
        <v>0.305483381137169</v>
      </c>
      <c r="I30" s="26" t="n">
        <f aca="false">I29/I27</f>
        <v>0.306709576750536</v>
      </c>
      <c r="J30" s="26" t="n">
        <f aca="false">J29/J27</f>
        <v>0.310001277302337</v>
      </c>
      <c r="K30" s="12" t="s">
        <v>271</v>
      </c>
    </row>
    <row r="31" customFormat="false" ht="15" hidden="false" customHeight="false" outlineLevel="0" collapsed="false">
      <c r="A31" s="7" t="s">
        <v>638</v>
      </c>
      <c r="B31" s="31" t="n">
        <v>1687</v>
      </c>
      <c r="C31" s="31"/>
      <c r="D31" s="31" t="n">
        <v>1581</v>
      </c>
      <c r="E31" s="31" t="n">
        <v>2168</v>
      </c>
      <c r="F31" s="31" t="n">
        <v>3121</v>
      </c>
      <c r="G31" s="31" t="n">
        <v>2980</v>
      </c>
      <c r="H31" s="31" t="n">
        <v>2987</v>
      </c>
      <c r="I31" s="31" t="n">
        <v>2979</v>
      </c>
      <c r="J31" s="31" t="n">
        <v>3243</v>
      </c>
      <c r="K31" s="12" t="s">
        <v>910</v>
      </c>
    </row>
    <row r="32" customFormat="false" ht="15" hidden="false" customHeight="false" outlineLevel="0" collapsed="false">
      <c r="A32" s="7" t="s">
        <v>561</v>
      </c>
      <c r="B32" s="31" t="n">
        <v>1360</v>
      </c>
      <c r="C32" s="31" t="n">
        <v>1402</v>
      </c>
      <c r="D32" s="31" t="n">
        <v>1422</v>
      </c>
      <c r="E32" s="31" t="n">
        <v>2034</v>
      </c>
      <c r="F32" s="31" t="n">
        <v>2820</v>
      </c>
      <c r="G32" s="31" t="n">
        <v>2659</v>
      </c>
      <c r="H32" s="31" t="n">
        <v>2652</v>
      </c>
      <c r="I32" s="31" t="n">
        <v>2606</v>
      </c>
      <c r="J32" s="31" t="n">
        <v>2789</v>
      </c>
      <c r="K32" s="6"/>
    </row>
    <row r="33" customFormat="false" ht="15" hidden="false" customHeight="false" outlineLevel="0" collapsed="false">
      <c r="A33" s="6" t="s">
        <v>640</v>
      </c>
      <c r="B33" s="26" t="n">
        <f aca="false">B32/B27</f>
        <v>0.0655358519660756</v>
      </c>
      <c r="C33" s="26" t="n">
        <f aca="false">C32/C27</f>
        <v>0.0636983189459337</v>
      </c>
      <c r="D33" s="26" t="n">
        <f aca="false">D32/D27</f>
        <v>0.0651725560291489</v>
      </c>
      <c r="E33" s="26" t="n">
        <f aca="false">E32/E27</f>
        <v>0.0892418392418393</v>
      </c>
      <c r="F33" s="26" t="n">
        <f aca="false">F32/F27</f>
        <v>0.0987187565637471</v>
      </c>
      <c r="G33" s="26" t="n">
        <f aca="false">G32/G27</f>
        <v>0.0894262460482949</v>
      </c>
      <c r="H33" s="26" t="n">
        <f aca="false">H32/H27</f>
        <v>0.0894887801585963</v>
      </c>
      <c r="I33" s="26" t="n">
        <f aca="false">I32/I27</f>
        <v>0.0847149080033808</v>
      </c>
      <c r="J33" s="26" t="n">
        <f aca="false">J32/J27</f>
        <v>0.089059905479627</v>
      </c>
      <c r="K33" s="12" t="s">
        <v>271</v>
      </c>
    </row>
    <row r="34" customFormat="false" ht="15" hidden="false" customHeight="false" outlineLevel="0" collapsed="false">
      <c r="A34" s="7" t="s">
        <v>562</v>
      </c>
      <c r="B34" s="31" t="n">
        <v>1267</v>
      </c>
      <c r="C34" s="31" t="n">
        <v>1108</v>
      </c>
      <c r="D34" s="31" t="n">
        <v>961</v>
      </c>
      <c r="E34" s="31" t="n">
        <v>1508</v>
      </c>
      <c r="F34" s="31" t="n">
        <v>2122</v>
      </c>
      <c r="G34" s="31" t="n">
        <v>1889</v>
      </c>
      <c r="H34" s="31" t="n">
        <v>1735</v>
      </c>
      <c r="I34" s="31" t="n">
        <v>1856</v>
      </c>
      <c r="J34" s="31" t="n">
        <v>2006</v>
      </c>
      <c r="K34" s="6"/>
    </row>
    <row r="35" customFormat="false" ht="22.35" hidden="false" customHeight="false" outlineLevel="0" collapsed="false">
      <c r="A35" s="7" t="s">
        <v>563</v>
      </c>
      <c r="B35" s="42"/>
      <c r="C35" s="42"/>
      <c r="D35" s="42"/>
      <c r="E35" s="42"/>
      <c r="F35" s="42" t="n">
        <v>9.69</v>
      </c>
      <c r="G35" s="42" t="n">
        <v>9.12</v>
      </c>
      <c r="H35" s="42" t="n">
        <v>8.53</v>
      </c>
      <c r="I35" s="42" t="n">
        <v>9.32</v>
      </c>
      <c r="J35" s="42" t="n">
        <v>10.16</v>
      </c>
      <c r="K35" s="12" t="s">
        <v>911</v>
      </c>
    </row>
    <row r="36" customFormat="false" ht="15" hidden="false" customHeight="false" outlineLevel="0" collapsed="false">
      <c r="A36" s="7" t="s">
        <v>886</v>
      </c>
      <c r="B36" s="31" t="n">
        <v>1323</v>
      </c>
      <c r="C36" s="31" t="n">
        <v>1609</v>
      </c>
      <c r="D36" s="31" t="n">
        <v>1868</v>
      </c>
      <c r="E36" s="31" t="n">
        <v>1541</v>
      </c>
      <c r="F36" s="31" t="n">
        <v>1149</v>
      </c>
      <c r="G36" s="31" t="n">
        <v>2723</v>
      </c>
      <c r="H36" s="31" t="n">
        <v>1873</v>
      </c>
      <c r="I36" s="31" t="n">
        <v>1908</v>
      </c>
      <c r="J36" s="31" t="n">
        <v>2181</v>
      </c>
      <c r="K36" s="6"/>
    </row>
    <row r="37" customFormat="false" ht="15" hidden="false" customHeight="false" outlineLevel="0" collapsed="false">
      <c r="A37" s="7" t="s">
        <v>887</v>
      </c>
      <c r="B37" s="31" t="n">
        <v>265</v>
      </c>
      <c r="C37" s="31" t="n">
        <v>382</v>
      </c>
      <c r="D37" s="31" t="n">
        <v>215</v>
      </c>
      <c r="E37" s="31" t="n">
        <v>174</v>
      </c>
      <c r="F37" s="31" t="n">
        <v>290</v>
      </c>
      <c r="G37" s="31" t="n">
        <v>441</v>
      </c>
      <c r="H37" s="31" t="n">
        <v>372</v>
      </c>
      <c r="I37" s="31" t="n">
        <v>305</v>
      </c>
      <c r="J37" s="31" t="n">
        <v>354</v>
      </c>
      <c r="K37" s="12" t="s">
        <v>888</v>
      </c>
    </row>
    <row r="38" customFormat="false" ht="22.35" hidden="false" customHeight="false" outlineLevel="0" collapsed="false">
      <c r="A38" s="7" t="s">
        <v>889</v>
      </c>
      <c r="B38" s="27" t="n">
        <f aca="false">B36-B37</f>
        <v>1058</v>
      </c>
      <c r="C38" s="27" t="n">
        <f aca="false">C36-C37</f>
        <v>1227</v>
      </c>
      <c r="D38" s="27" t="n">
        <f aca="false">D36-D37</f>
        <v>1653</v>
      </c>
      <c r="E38" s="27" t="n">
        <f aca="false">E36-E37</f>
        <v>1367</v>
      </c>
      <c r="F38" s="27" t="n">
        <f aca="false">F36-F37</f>
        <v>859</v>
      </c>
      <c r="G38" s="27" t="n">
        <f aca="false">G36-G37</f>
        <v>2282</v>
      </c>
      <c r="H38" s="27" t="n">
        <f aca="false">H36-H37</f>
        <v>1501</v>
      </c>
      <c r="I38" s="27" t="n">
        <f aca="false">I36-I37</f>
        <v>1603</v>
      </c>
      <c r="J38" s="27" t="n">
        <f aca="false">J36-J37</f>
        <v>1827</v>
      </c>
      <c r="K38" s="12" t="s">
        <v>912</v>
      </c>
    </row>
    <row r="39" customFormat="false" ht="15" hidden="false" customHeight="false" outlineLevel="0" collapsed="false">
      <c r="A39" s="6" t="s">
        <v>892</v>
      </c>
      <c r="B39" s="26" t="n">
        <f aca="false">B37/B27</f>
        <v>0.0127698535080956</v>
      </c>
      <c r="C39" s="26" t="n">
        <f aca="false">C37/C27</f>
        <v>0.0173557473875511</v>
      </c>
      <c r="D39" s="26" t="n">
        <f aca="false">D37/D27</f>
        <v>0.00985379714927357</v>
      </c>
      <c r="E39" s="26" t="n">
        <f aca="false">E37/E27</f>
        <v>0.00763425763425763</v>
      </c>
      <c r="F39" s="26" t="n">
        <f aca="false">F37/F27</f>
        <v>0.0101519288664846</v>
      </c>
      <c r="G39" s="26" t="n">
        <f aca="false">G37/G27</f>
        <v>0.0148315060200444</v>
      </c>
      <c r="H39" s="26" t="n">
        <f aca="false">H37/H27</f>
        <v>0.0125527248186266</v>
      </c>
      <c r="I39" s="26" t="n">
        <f aca="false">I37/I27</f>
        <v>0.00991482998504649</v>
      </c>
      <c r="J39" s="26" t="n">
        <f aca="false">J37/J27</f>
        <v>0.01130412568655</v>
      </c>
      <c r="K39" s="12" t="s">
        <v>271</v>
      </c>
    </row>
    <row r="41" customFormat="false" ht="74.6" hidden="false" customHeight="false" outlineLevel="0" collapsed="false">
      <c r="A41" s="4" t="s">
        <v>913</v>
      </c>
    </row>
    <row r="44" customFormat="false" ht="15" hidden="false" customHeight="false" outlineLevel="0" collapsed="false">
      <c r="A44" s="3" t="s">
        <v>914</v>
      </c>
    </row>
    <row r="45" customFormat="false" ht="53.7" hidden="false" customHeight="false" outlineLevel="0" collapsed="false">
      <c r="A45" s="4" t="s">
        <v>915</v>
      </c>
    </row>
    <row r="47" customFormat="false" ht="30" hidden="false" customHeight="true" outlineLevel="0" collapsed="false">
      <c r="A47" s="5" t="s">
        <v>916</v>
      </c>
      <c r="B47" s="5" t="s">
        <v>196</v>
      </c>
      <c r="C47" s="5" t="s">
        <v>74</v>
      </c>
      <c r="D47" s="5" t="s">
        <v>75</v>
      </c>
      <c r="E47" s="5"/>
      <c r="F47" s="5"/>
      <c r="G47" s="5"/>
      <c r="H47" s="5"/>
      <c r="I47" s="5"/>
      <c r="J47" s="5" t="s">
        <v>162</v>
      </c>
      <c r="K47" s="5" t="s">
        <v>917</v>
      </c>
    </row>
    <row r="48" customFormat="false" ht="64.15" hidden="false" customHeight="false" outlineLevel="0" collapsed="false">
      <c r="A48" s="7" t="s">
        <v>918</v>
      </c>
      <c r="B48" s="12" t="s">
        <v>919</v>
      </c>
      <c r="C48" s="31" t="n">
        <v>626</v>
      </c>
      <c r="D48" s="6" t="s">
        <v>78</v>
      </c>
      <c r="E48" s="50" t="s">
        <v>920</v>
      </c>
      <c r="F48" s="6"/>
      <c r="G48" s="6"/>
      <c r="H48" s="6"/>
      <c r="I48" s="6"/>
      <c r="J48" s="12" t="s">
        <v>921</v>
      </c>
      <c r="K48" s="12" t="s">
        <v>922</v>
      </c>
    </row>
    <row r="49" customFormat="false" ht="15" hidden="false" customHeight="false" outlineLevel="0" collapsed="false">
      <c r="A49" s="7" t="s">
        <v>165</v>
      </c>
      <c r="B49" s="12" t="s">
        <v>919</v>
      </c>
      <c r="C49" s="17" t="n">
        <v>0.023</v>
      </c>
      <c r="D49" s="6" t="s">
        <v>91</v>
      </c>
      <c r="E49" s="50" t="s">
        <v>920</v>
      </c>
      <c r="F49" s="6"/>
      <c r="G49" s="6"/>
      <c r="H49" s="6"/>
      <c r="I49" s="6"/>
      <c r="J49" s="12" t="s">
        <v>166</v>
      </c>
      <c r="K49" s="12" t="s">
        <v>923</v>
      </c>
    </row>
    <row r="50" customFormat="false" ht="15" hidden="false" customHeight="false" outlineLevel="0" collapsed="false">
      <c r="A50" s="7" t="s">
        <v>167</v>
      </c>
      <c r="B50" s="12" t="s">
        <v>919</v>
      </c>
      <c r="C50" s="31" t="n">
        <v>175</v>
      </c>
      <c r="D50" s="6" t="s">
        <v>78</v>
      </c>
      <c r="E50" s="50" t="s">
        <v>920</v>
      </c>
      <c r="F50" s="6"/>
      <c r="G50" s="6"/>
      <c r="H50" s="6"/>
      <c r="I50" s="6"/>
      <c r="J50" s="12" t="s">
        <v>924</v>
      </c>
      <c r="K50" s="12" t="s">
        <v>925</v>
      </c>
    </row>
    <row r="51" customFormat="false" ht="22.35" hidden="false" customHeight="false" outlineLevel="0" collapsed="false">
      <c r="A51" s="7" t="s">
        <v>926</v>
      </c>
      <c r="B51" s="12" t="s">
        <v>919</v>
      </c>
      <c r="C51" s="31" t="n">
        <v>59</v>
      </c>
      <c r="D51" s="6" t="s">
        <v>78</v>
      </c>
      <c r="E51" s="50" t="s">
        <v>920</v>
      </c>
      <c r="F51" s="6"/>
      <c r="G51" s="6"/>
      <c r="H51" s="6"/>
      <c r="I51" s="6"/>
      <c r="J51" s="12" t="s">
        <v>166</v>
      </c>
      <c r="K51" s="12" t="s">
        <v>927</v>
      </c>
    </row>
    <row r="52" customFormat="false" ht="15" hidden="false" customHeight="false" outlineLevel="0" collapsed="false">
      <c r="A52" s="7" t="s">
        <v>928</v>
      </c>
      <c r="B52" s="12" t="s">
        <v>919</v>
      </c>
      <c r="C52" s="31" t="n">
        <v>114</v>
      </c>
      <c r="D52" s="6" t="s">
        <v>78</v>
      </c>
      <c r="E52" s="50" t="s">
        <v>920</v>
      </c>
      <c r="F52" s="6"/>
      <c r="G52" s="6"/>
      <c r="H52" s="6"/>
      <c r="I52" s="6"/>
      <c r="J52" s="12" t="s">
        <v>166</v>
      </c>
      <c r="K52" s="12" t="s">
        <v>929</v>
      </c>
    </row>
    <row r="53" customFormat="false" ht="15" hidden="false" customHeight="false" outlineLevel="0" collapsed="false">
      <c r="A53" s="7" t="s">
        <v>930</v>
      </c>
      <c r="B53" s="12" t="s">
        <v>919</v>
      </c>
      <c r="C53" s="17" t="n">
        <v>0.92</v>
      </c>
      <c r="D53" s="6" t="s">
        <v>91</v>
      </c>
      <c r="E53" s="50" t="s">
        <v>920</v>
      </c>
      <c r="F53" s="6"/>
      <c r="G53" s="6"/>
      <c r="H53" s="6"/>
      <c r="I53" s="6"/>
      <c r="J53" s="12" t="s">
        <v>166</v>
      </c>
      <c r="K53" s="12" t="s">
        <v>929</v>
      </c>
    </row>
    <row r="54" customFormat="false" ht="15" hidden="false" customHeight="false" outlineLevel="0" collapsed="false">
      <c r="A54" s="7" t="s">
        <v>931</v>
      </c>
      <c r="B54" s="12" t="s">
        <v>919</v>
      </c>
      <c r="C54" s="17" t="n">
        <v>0.79</v>
      </c>
      <c r="D54" s="6" t="s">
        <v>91</v>
      </c>
      <c r="E54" s="50" t="s">
        <v>920</v>
      </c>
      <c r="F54" s="6"/>
      <c r="G54" s="6"/>
      <c r="H54" s="6"/>
      <c r="I54" s="6"/>
      <c r="J54" s="12" t="s">
        <v>166</v>
      </c>
      <c r="K54" s="12" t="s">
        <v>932</v>
      </c>
    </row>
    <row r="55" customFormat="false" ht="15" hidden="false" customHeight="false" outlineLevel="0" collapsed="false">
      <c r="A55" s="7" t="s">
        <v>933</v>
      </c>
      <c r="B55" s="12" t="s">
        <v>919</v>
      </c>
      <c r="C55" s="17" t="n">
        <v>0.567</v>
      </c>
      <c r="D55" s="6" t="s">
        <v>91</v>
      </c>
      <c r="E55" s="50" t="s">
        <v>920</v>
      </c>
      <c r="F55" s="6"/>
      <c r="G55" s="6"/>
      <c r="H55" s="6"/>
      <c r="I55" s="6"/>
      <c r="J55" s="12" t="s">
        <v>166</v>
      </c>
      <c r="K55" s="12" t="s">
        <v>934</v>
      </c>
    </row>
    <row r="56" customFormat="false" ht="22.35" hidden="false" customHeight="false" outlineLevel="0" collapsed="false">
      <c r="A56" s="7" t="s">
        <v>935</v>
      </c>
      <c r="B56" s="12" t="s">
        <v>936</v>
      </c>
      <c r="C56" s="14" t="n">
        <v>36.5</v>
      </c>
      <c r="D56" s="6" t="s">
        <v>78</v>
      </c>
      <c r="E56" s="50" t="s">
        <v>920</v>
      </c>
      <c r="F56" s="6"/>
      <c r="G56" s="6"/>
      <c r="H56" s="6"/>
      <c r="I56" s="6"/>
      <c r="J56" s="12" t="s">
        <v>937</v>
      </c>
      <c r="K56" s="12" t="s">
        <v>938</v>
      </c>
    </row>
    <row r="57" customFormat="false" ht="22.35" hidden="false" customHeight="false" outlineLevel="0" collapsed="false">
      <c r="A57" s="7" t="s">
        <v>939</v>
      </c>
      <c r="B57" s="12" t="s">
        <v>936</v>
      </c>
      <c r="C57" s="14" t="n">
        <v>34.8</v>
      </c>
      <c r="D57" s="6" t="s">
        <v>78</v>
      </c>
      <c r="E57" s="50" t="s">
        <v>920</v>
      </c>
      <c r="F57" s="6"/>
      <c r="G57" s="6"/>
      <c r="H57" s="6"/>
      <c r="I57" s="6"/>
      <c r="J57" s="12" t="s">
        <v>937</v>
      </c>
      <c r="K57" s="12" t="s">
        <v>940</v>
      </c>
    </row>
    <row r="58" customFormat="false" ht="23.85" hidden="false" customHeight="false" outlineLevel="0" collapsed="false">
      <c r="A58" s="7" t="s">
        <v>941</v>
      </c>
      <c r="B58" s="12" t="s">
        <v>936</v>
      </c>
      <c r="C58" s="14" t="n">
        <v>54.3</v>
      </c>
      <c r="D58" s="6" t="s">
        <v>78</v>
      </c>
      <c r="E58" s="50" t="s">
        <v>920</v>
      </c>
      <c r="F58" s="6"/>
      <c r="G58" s="6"/>
      <c r="H58" s="6"/>
      <c r="I58" s="6"/>
      <c r="J58" s="12" t="s">
        <v>937</v>
      </c>
      <c r="K58" s="12" t="s">
        <v>942</v>
      </c>
    </row>
    <row r="59" customFormat="false" ht="23.85" hidden="false" customHeight="false" outlineLevel="0" collapsed="false">
      <c r="A59" s="7" t="s">
        <v>943</v>
      </c>
      <c r="B59" s="12" t="s">
        <v>936</v>
      </c>
      <c r="C59" s="14" t="n">
        <v>53</v>
      </c>
      <c r="D59" s="6" t="s">
        <v>78</v>
      </c>
      <c r="E59" s="50" t="s">
        <v>920</v>
      </c>
      <c r="F59" s="6"/>
      <c r="G59" s="6"/>
      <c r="H59" s="6"/>
      <c r="I59" s="6"/>
      <c r="J59" s="12" t="s">
        <v>937</v>
      </c>
      <c r="K59" s="12" t="s">
        <v>944</v>
      </c>
    </row>
    <row r="60" customFormat="false" ht="43.25" hidden="false" customHeight="false" outlineLevel="0" collapsed="false">
      <c r="A60" s="7" t="s">
        <v>197</v>
      </c>
      <c r="B60" s="12" t="s">
        <v>198</v>
      </c>
      <c r="C60" s="31" t="n">
        <v>350</v>
      </c>
      <c r="D60" s="6" t="s">
        <v>78</v>
      </c>
      <c r="E60" s="50" t="s">
        <v>920</v>
      </c>
      <c r="F60" s="6"/>
      <c r="G60" s="6"/>
      <c r="H60" s="6"/>
      <c r="I60" s="6"/>
      <c r="J60" s="12" t="s">
        <v>199</v>
      </c>
      <c r="K60" s="12" t="s">
        <v>945</v>
      </c>
    </row>
    <row r="61" customFormat="false" ht="22.35" hidden="false" customHeight="false" outlineLevel="0" collapsed="false">
      <c r="A61" s="7" t="s">
        <v>202</v>
      </c>
      <c r="B61" s="12" t="s">
        <v>198</v>
      </c>
      <c r="C61" s="31" t="n">
        <v>226</v>
      </c>
      <c r="D61" s="6" t="s">
        <v>78</v>
      </c>
      <c r="E61" s="50" t="s">
        <v>920</v>
      </c>
      <c r="F61" s="6"/>
      <c r="G61" s="6"/>
      <c r="H61" s="6"/>
      <c r="I61" s="6"/>
      <c r="J61" s="12" t="s">
        <v>203</v>
      </c>
      <c r="K61" s="12" t="s">
        <v>946</v>
      </c>
    </row>
    <row r="62" customFormat="false" ht="22.35" hidden="false" customHeight="false" outlineLevel="0" collapsed="false">
      <c r="A62" s="7" t="s">
        <v>947</v>
      </c>
      <c r="B62" s="12" t="s">
        <v>205</v>
      </c>
      <c r="C62" s="31" t="n">
        <v>279</v>
      </c>
      <c r="D62" s="6" t="s">
        <v>78</v>
      </c>
      <c r="E62" s="50" t="s">
        <v>920</v>
      </c>
      <c r="F62" s="6"/>
      <c r="G62" s="6"/>
      <c r="H62" s="6"/>
      <c r="I62" s="6"/>
      <c r="J62" s="12" t="s">
        <v>203</v>
      </c>
      <c r="K62" s="12" t="s">
        <v>946</v>
      </c>
    </row>
    <row r="63" customFormat="false" ht="22.35" hidden="false" customHeight="false" outlineLevel="0" collapsed="false">
      <c r="A63" s="7" t="s">
        <v>947</v>
      </c>
      <c r="B63" s="12" t="s">
        <v>207</v>
      </c>
      <c r="C63" s="31" t="n">
        <v>492</v>
      </c>
      <c r="D63" s="6" t="s">
        <v>78</v>
      </c>
      <c r="E63" s="50" t="s">
        <v>920</v>
      </c>
      <c r="F63" s="6"/>
      <c r="G63" s="6"/>
      <c r="H63" s="6"/>
      <c r="I63" s="6"/>
      <c r="J63" s="12" t="s">
        <v>203</v>
      </c>
      <c r="K63" s="12" t="s">
        <v>948</v>
      </c>
    </row>
    <row r="64" customFormat="false" ht="22.35" hidden="false" customHeight="false" outlineLevel="0" collapsed="false">
      <c r="A64" s="7" t="s">
        <v>949</v>
      </c>
      <c r="B64" s="12" t="s">
        <v>235</v>
      </c>
      <c r="C64" s="14" t="n">
        <v>2.7</v>
      </c>
      <c r="D64" s="6" t="s">
        <v>78</v>
      </c>
      <c r="E64" s="50" t="s">
        <v>920</v>
      </c>
      <c r="F64" s="6"/>
      <c r="G64" s="6"/>
      <c r="H64" s="6"/>
      <c r="I64" s="6"/>
      <c r="J64" s="12" t="s">
        <v>236</v>
      </c>
      <c r="K64" s="12" t="s">
        <v>950</v>
      </c>
    </row>
    <row r="65" customFormat="false" ht="22.35" hidden="false" customHeight="false" outlineLevel="0" collapsed="false">
      <c r="A65" s="7" t="s">
        <v>951</v>
      </c>
      <c r="B65" s="12" t="s">
        <v>238</v>
      </c>
      <c r="C65" s="14" t="n">
        <v>11.4</v>
      </c>
      <c r="D65" s="6" t="s">
        <v>78</v>
      </c>
      <c r="E65" s="50" t="s">
        <v>920</v>
      </c>
      <c r="F65" s="6"/>
      <c r="G65" s="6"/>
      <c r="H65" s="6"/>
      <c r="I65" s="6"/>
      <c r="J65" s="12" t="s">
        <v>236</v>
      </c>
      <c r="K65" s="12" t="s">
        <v>952</v>
      </c>
    </row>
    <row r="66" customFormat="false" ht="15" hidden="false" customHeight="false" outlineLevel="0" collapsed="false">
      <c r="A66" s="7" t="s">
        <v>240</v>
      </c>
      <c r="B66" s="12" t="s">
        <v>235</v>
      </c>
      <c r="C66" s="14" t="n">
        <v>1.64</v>
      </c>
      <c r="D66" s="6" t="s">
        <v>78</v>
      </c>
      <c r="E66" s="50" t="s">
        <v>920</v>
      </c>
      <c r="F66" s="6"/>
      <c r="G66" s="6"/>
      <c r="H66" s="6"/>
      <c r="I66" s="6"/>
      <c r="J66" s="12" t="s">
        <v>241</v>
      </c>
      <c r="K66" s="12" t="s">
        <v>953</v>
      </c>
    </row>
    <row r="67" customFormat="false" ht="15" hidden="false" customHeight="false" outlineLevel="0" collapsed="false">
      <c r="A67" s="7" t="s">
        <v>242</v>
      </c>
      <c r="B67" s="12" t="s">
        <v>243</v>
      </c>
      <c r="C67" s="14" t="n">
        <v>1.6</v>
      </c>
      <c r="D67" s="6" t="s">
        <v>78</v>
      </c>
      <c r="E67" s="50" t="s">
        <v>920</v>
      </c>
      <c r="F67" s="6"/>
      <c r="G67" s="6"/>
      <c r="H67" s="6"/>
      <c r="I67" s="6"/>
      <c r="J67" s="12" t="s">
        <v>241</v>
      </c>
      <c r="K67" s="12" t="s">
        <v>954</v>
      </c>
    </row>
    <row r="68" customFormat="false" ht="15" hidden="false" customHeight="false" outlineLevel="0" collapsed="false">
      <c r="A68" s="7" t="s">
        <v>244</v>
      </c>
      <c r="B68" s="12" t="s">
        <v>243</v>
      </c>
      <c r="C68" s="14" t="n">
        <v>2.6</v>
      </c>
      <c r="D68" s="6" t="s">
        <v>78</v>
      </c>
      <c r="E68" s="50" t="s">
        <v>920</v>
      </c>
      <c r="F68" s="6"/>
      <c r="G68" s="6"/>
      <c r="H68" s="6"/>
      <c r="I68" s="6"/>
      <c r="J68" s="12" t="s">
        <v>241</v>
      </c>
      <c r="K68" s="12" t="s">
        <v>954</v>
      </c>
    </row>
    <row r="69" customFormat="false" ht="15" hidden="false" customHeight="false" outlineLevel="0" collapsed="false">
      <c r="A69" s="7" t="s">
        <v>245</v>
      </c>
      <c r="B69" s="12" t="s">
        <v>243</v>
      </c>
      <c r="C69" s="14" t="n">
        <v>1.1</v>
      </c>
      <c r="D69" s="6" t="s">
        <v>78</v>
      </c>
      <c r="E69" s="50" t="s">
        <v>920</v>
      </c>
      <c r="F69" s="6"/>
      <c r="G69" s="6"/>
      <c r="H69" s="6"/>
      <c r="I69" s="6"/>
      <c r="J69" s="12" t="s">
        <v>241</v>
      </c>
      <c r="K69" s="12" t="s">
        <v>954</v>
      </c>
    </row>
    <row r="70" customFormat="false" ht="15" hidden="false" customHeight="false" outlineLevel="0" collapsed="false">
      <c r="A70" s="7" t="s">
        <v>246</v>
      </c>
      <c r="B70" s="12" t="s">
        <v>243</v>
      </c>
      <c r="C70" s="14" t="n">
        <v>2.6</v>
      </c>
      <c r="D70" s="6" t="s">
        <v>78</v>
      </c>
      <c r="E70" s="50" t="s">
        <v>920</v>
      </c>
      <c r="F70" s="6"/>
      <c r="G70" s="6"/>
      <c r="H70" s="6"/>
      <c r="I70" s="6"/>
      <c r="J70" s="12" t="s">
        <v>241</v>
      </c>
      <c r="K70" s="12" t="s">
        <v>954</v>
      </c>
    </row>
    <row r="71" customFormat="false" ht="15" hidden="false" customHeight="false" outlineLevel="0" collapsed="false">
      <c r="A71" s="7" t="s">
        <v>955</v>
      </c>
      <c r="B71" s="12" t="s">
        <v>243</v>
      </c>
      <c r="C71" s="14" t="n">
        <v>3.04</v>
      </c>
      <c r="D71" s="6" t="s">
        <v>78</v>
      </c>
      <c r="E71" s="50" t="s">
        <v>920</v>
      </c>
      <c r="F71" s="6"/>
      <c r="G71" s="6"/>
      <c r="H71" s="6"/>
      <c r="I71" s="6"/>
      <c r="J71" s="12" t="s">
        <v>956</v>
      </c>
      <c r="K71" s="12" t="s">
        <v>952</v>
      </c>
    </row>
    <row r="72" customFormat="false" ht="15" hidden="false" customHeight="false" outlineLevel="0" collapsed="false">
      <c r="A72" s="7" t="s">
        <v>955</v>
      </c>
      <c r="B72" s="12" t="s">
        <v>248</v>
      </c>
      <c r="C72" s="14" t="n">
        <v>3.04</v>
      </c>
      <c r="D72" s="6" t="s">
        <v>78</v>
      </c>
      <c r="E72" s="50" t="s">
        <v>920</v>
      </c>
      <c r="F72" s="6"/>
      <c r="G72" s="6"/>
      <c r="H72" s="6"/>
      <c r="I72" s="6"/>
      <c r="J72" s="12" t="s">
        <v>957</v>
      </c>
      <c r="K72" s="12" t="s">
        <v>958</v>
      </c>
    </row>
    <row r="73" customFormat="false" ht="32.8" hidden="false" customHeight="false" outlineLevel="0" collapsed="false">
      <c r="A73" s="7" t="s">
        <v>959</v>
      </c>
      <c r="B73" s="12" t="s">
        <v>295</v>
      </c>
      <c r="C73" s="14" t="n">
        <v>0.91</v>
      </c>
      <c r="D73" s="6" t="s">
        <v>78</v>
      </c>
      <c r="E73" s="50" t="s">
        <v>920</v>
      </c>
      <c r="F73" s="6"/>
      <c r="G73" s="6"/>
      <c r="H73" s="6"/>
      <c r="I73" s="6"/>
      <c r="J73" s="12" t="s">
        <v>960</v>
      </c>
      <c r="K73" s="12" t="s">
        <v>961</v>
      </c>
    </row>
    <row r="74" customFormat="false" ht="32.8" hidden="false" customHeight="false" outlineLevel="0" collapsed="false">
      <c r="A74" s="7" t="s">
        <v>962</v>
      </c>
      <c r="B74" s="12" t="s">
        <v>295</v>
      </c>
      <c r="C74" s="17" t="n">
        <v>-0.16</v>
      </c>
      <c r="D74" s="6" t="s">
        <v>91</v>
      </c>
      <c r="E74" s="50" t="s">
        <v>920</v>
      </c>
      <c r="F74" s="6"/>
      <c r="G74" s="6"/>
      <c r="H74" s="6"/>
      <c r="I74" s="6"/>
      <c r="J74" s="12" t="s">
        <v>960</v>
      </c>
      <c r="K74" s="12" t="s">
        <v>963</v>
      </c>
    </row>
    <row r="75" customFormat="false" ht="22.35" hidden="false" customHeight="false" outlineLevel="0" collapsed="false">
      <c r="A75" s="7" t="s">
        <v>964</v>
      </c>
      <c r="B75" s="12" t="s">
        <v>255</v>
      </c>
      <c r="C75" s="14" t="n">
        <v>11.7</v>
      </c>
      <c r="D75" s="6" t="s">
        <v>78</v>
      </c>
      <c r="E75" s="50" t="s">
        <v>920</v>
      </c>
      <c r="F75" s="6"/>
      <c r="G75" s="6"/>
      <c r="H75" s="6"/>
      <c r="I75" s="6"/>
      <c r="J75" s="12" t="s">
        <v>965</v>
      </c>
      <c r="K75" s="12" t="s">
        <v>966</v>
      </c>
    </row>
    <row r="76" customFormat="false" ht="15" hidden="false" customHeight="false" outlineLevel="0" collapsed="false">
      <c r="A76" s="7" t="s">
        <v>967</v>
      </c>
      <c r="B76" s="12" t="s">
        <v>255</v>
      </c>
      <c r="C76" s="14" t="n">
        <v>11.7</v>
      </c>
      <c r="D76" s="6" t="s">
        <v>78</v>
      </c>
      <c r="E76" s="50" t="s">
        <v>920</v>
      </c>
      <c r="F76" s="6"/>
      <c r="G76" s="6"/>
      <c r="H76" s="6"/>
      <c r="I76" s="6"/>
      <c r="J76" s="12" t="s">
        <v>968</v>
      </c>
      <c r="K76" s="12" t="s">
        <v>966</v>
      </c>
    </row>
    <row r="77" customFormat="false" ht="15" hidden="false" customHeight="false" outlineLevel="0" collapsed="false">
      <c r="A77" s="7" t="s">
        <v>969</v>
      </c>
      <c r="B77" s="12" t="s">
        <v>255</v>
      </c>
      <c r="C77" s="14" t="n">
        <v>15</v>
      </c>
      <c r="D77" s="6" t="s">
        <v>78</v>
      </c>
      <c r="E77" s="50" t="s">
        <v>920</v>
      </c>
      <c r="F77" s="6"/>
      <c r="G77" s="6"/>
      <c r="H77" s="6"/>
      <c r="I77" s="6"/>
      <c r="J77" s="12" t="s">
        <v>968</v>
      </c>
      <c r="K77" s="12" t="s">
        <v>966</v>
      </c>
    </row>
    <row r="78" customFormat="false" ht="15" hidden="false" customHeight="false" outlineLevel="0" collapsed="false">
      <c r="A78" s="7" t="s">
        <v>970</v>
      </c>
      <c r="B78" s="12" t="s">
        <v>255</v>
      </c>
      <c r="C78" s="14" t="n">
        <v>4</v>
      </c>
      <c r="D78" s="6" t="s">
        <v>78</v>
      </c>
      <c r="E78" s="50" t="s">
        <v>920</v>
      </c>
      <c r="F78" s="6"/>
      <c r="G78" s="6"/>
      <c r="H78" s="6"/>
      <c r="I78" s="6"/>
      <c r="J78" s="12" t="s">
        <v>968</v>
      </c>
      <c r="K78" s="12" t="s">
        <v>966</v>
      </c>
    </row>
    <row r="79" customFormat="false" ht="15" hidden="false" customHeight="false" outlineLevel="0" collapsed="false">
      <c r="A79" s="7" t="s">
        <v>282</v>
      </c>
      <c r="B79" s="12" t="s">
        <v>971</v>
      </c>
      <c r="C79" s="14" t="n">
        <v>23</v>
      </c>
      <c r="D79" s="6" t="s">
        <v>78</v>
      </c>
      <c r="E79" s="50" t="s">
        <v>920</v>
      </c>
      <c r="F79" s="6"/>
      <c r="G79" s="6"/>
      <c r="H79" s="6"/>
      <c r="I79" s="6"/>
      <c r="J79" s="12" t="s">
        <v>972</v>
      </c>
      <c r="K79" s="12" t="s">
        <v>973</v>
      </c>
    </row>
    <row r="80" customFormat="false" ht="15" hidden="false" customHeight="false" outlineLevel="0" collapsed="false">
      <c r="A80" s="7" t="s">
        <v>285</v>
      </c>
      <c r="B80" s="12" t="s">
        <v>971</v>
      </c>
      <c r="C80" s="14" t="n">
        <v>51</v>
      </c>
      <c r="D80" s="6" t="s">
        <v>78</v>
      </c>
      <c r="E80" s="50" t="s">
        <v>920</v>
      </c>
      <c r="F80" s="6"/>
      <c r="G80" s="6"/>
      <c r="H80" s="6"/>
      <c r="I80" s="6"/>
      <c r="J80" s="12" t="s">
        <v>972</v>
      </c>
      <c r="K80" s="12" t="s">
        <v>974</v>
      </c>
    </row>
    <row r="81" customFormat="false" ht="15" hidden="false" customHeight="false" outlineLevel="0" collapsed="false">
      <c r="A81" s="7" t="s">
        <v>975</v>
      </c>
      <c r="B81" s="12" t="s">
        <v>243</v>
      </c>
      <c r="C81" s="14" t="n">
        <v>1.2</v>
      </c>
      <c r="D81" s="6" t="s">
        <v>78</v>
      </c>
      <c r="E81" s="50" t="s">
        <v>920</v>
      </c>
      <c r="F81" s="6"/>
      <c r="G81" s="6"/>
      <c r="H81" s="6"/>
      <c r="I81" s="6"/>
      <c r="J81" s="12" t="s">
        <v>972</v>
      </c>
      <c r="K81" s="12" t="s">
        <v>290</v>
      </c>
    </row>
    <row r="82" customFormat="false" ht="15" hidden="false" customHeight="false" outlineLevel="0" collapsed="false">
      <c r="A82" s="7" t="s">
        <v>976</v>
      </c>
      <c r="B82" s="12" t="s">
        <v>977</v>
      </c>
      <c r="C82" s="14" t="n">
        <v>14</v>
      </c>
      <c r="D82" s="6" t="s">
        <v>78</v>
      </c>
      <c r="E82" s="50" t="s">
        <v>920</v>
      </c>
      <c r="F82" s="6"/>
      <c r="G82" s="6"/>
      <c r="H82" s="6"/>
      <c r="I82" s="6"/>
      <c r="J82" s="12" t="s">
        <v>309</v>
      </c>
      <c r="K82" s="12" t="s">
        <v>978</v>
      </c>
    </row>
    <row r="83" customFormat="false" ht="15" hidden="false" customHeight="false" outlineLevel="0" collapsed="false">
      <c r="A83" s="7" t="s">
        <v>979</v>
      </c>
      <c r="B83" s="12" t="s">
        <v>977</v>
      </c>
      <c r="C83" s="14" t="n">
        <v>16.5</v>
      </c>
      <c r="D83" s="6" t="s">
        <v>78</v>
      </c>
      <c r="E83" s="50" t="s">
        <v>920</v>
      </c>
      <c r="F83" s="6"/>
      <c r="G83" s="6"/>
      <c r="H83" s="6"/>
      <c r="I83" s="6"/>
      <c r="J83" s="12" t="s">
        <v>309</v>
      </c>
      <c r="K83" s="12" t="s">
        <v>980</v>
      </c>
    </row>
    <row r="84" customFormat="false" ht="22.35" hidden="false" customHeight="false" outlineLevel="0" collapsed="false">
      <c r="A84" s="7" t="s">
        <v>981</v>
      </c>
      <c r="B84" s="12" t="s">
        <v>982</v>
      </c>
      <c r="C84" s="14" t="n">
        <v>364.2</v>
      </c>
      <c r="D84" s="6" t="s">
        <v>78</v>
      </c>
      <c r="E84" s="50" t="s">
        <v>920</v>
      </c>
      <c r="F84" s="6"/>
      <c r="G84" s="6"/>
      <c r="H84" s="6"/>
      <c r="I84" s="6"/>
      <c r="J84" s="12" t="s">
        <v>983</v>
      </c>
      <c r="K84" s="12" t="s">
        <v>984</v>
      </c>
    </row>
    <row r="85" customFormat="false" ht="22.35" hidden="false" customHeight="false" outlineLevel="0" collapsed="false">
      <c r="A85" s="7" t="s">
        <v>981</v>
      </c>
      <c r="B85" s="12" t="s">
        <v>985</v>
      </c>
      <c r="C85" s="14" t="n">
        <v>630.1</v>
      </c>
      <c r="D85" s="6" t="s">
        <v>78</v>
      </c>
      <c r="E85" s="50" t="s">
        <v>920</v>
      </c>
      <c r="F85" s="6"/>
      <c r="G85" s="6"/>
      <c r="H85" s="6"/>
      <c r="I85" s="6"/>
      <c r="J85" s="12" t="s">
        <v>828</v>
      </c>
      <c r="K85" s="12" t="s">
        <v>986</v>
      </c>
    </row>
    <row r="86" customFormat="false" ht="15" hidden="false" customHeight="false" outlineLevel="0" collapsed="false">
      <c r="A86" s="7" t="s">
        <v>987</v>
      </c>
      <c r="B86" s="12" t="s">
        <v>988</v>
      </c>
      <c r="C86" s="14" t="n">
        <v>472.6</v>
      </c>
      <c r="D86" s="6" t="s">
        <v>78</v>
      </c>
      <c r="E86" s="50" t="s">
        <v>920</v>
      </c>
      <c r="F86" s="6"/>
      <c r="G86" s="6"/>
      <c r="H86" s="6"/>
      <c r="I86" s="6"/>
      <c r="J86" s="12" t="s">
        <v>989</v>
      </c>
      <c r="K86" s="12" t="s">
        <v>990</v>
      </c>
    </row>
    <row r="87" customFormat="false" ht="15" hidden="false" customHeight="false" outlineLevel="0" collapsed="false">
      <c r="A87" s="7" t="s">
        <v>987</v>
      </c>
      <c r="B87" s="12" t="s">
        <v>991</v>
      </c>
      <c r="C87" s="14" t="n">
        <v>625</v>
      </c>
      <c r="D87" s="6" t="s">
        <v>78</v>
      </c>
      <c r="E87" s="50" t="s">
        <v>920</v>
      </c>
      <c r="F87" s="6"/>
      <c r="G87" s="6"/>
      <c r="H87" s="6"/>
      <c r="I87" s="6"/>
      <c r="J87" s="12" t="s">
        <v>992</v>
      </c>
      <c r="K87" s="12" t="s">
        <v>993</v>
      </c>
    </row>
    <row r="88" customFormat="false" ht="15" hidden="false" customHeight="false" outlineLevel="0" collapsed="false">
      <c r="A88" s="7" t="s">
        <v>994</v>
      </c>
      <c r="B88" s="12" t="s">
        <v>995</v>
      </c>
      <c r="C88" s="31" t="n">
        <v>81</v>
      </c>
      <c r="D88" s="6" t="s">
        <v>84</v>
      </c>
      <c r="E88" s="50" t="s">
        <v>920</v>
      </c>
      <c r="F88" s="6"/>
      <c r="G88" s="6"/>
      <c r="H88" s="6"/>
      <c r="I88" s="6"/>
      <c r="J88" s="12" t="s">
        <v>996</v>
      </c>
      <c r="K88" s="12" t="s">
        <v>997</v>
      </c>
    </row>
    <row r="89" customFormat="false" ht="22.35" hidden="false" customHeight="false" outlineLevel="0" collapsed="false">
      <c r="A89" s="7" t="s">
        <v>994</v>
      </c>
      <c r="B89" s="12" t="s">
        <v>207</v>
      </c>
      <c r="C89" s="31" t="n">
        <v>99</v>
      </c>
      <c r="D89" s="6" t="s">
        <v>84</v>
      </c>
      <c r="E89" s="50" t="s">
        <v>920</v>
      </c>
      <c r="F89" s="6"/>
      <c r="G89" s="6"/>
      <c r="H89" s="6"/>
      <c r="I89" s="6"/>
      <c r="J89" s="12" t="s">
        <v>998</v>
      </c>
      <c r="K89" s="12" t="s">
        <v>997</v>
      </c>
    </row>
    <row r="90" customFormat="false" ht="22.35" hidden="false" customHeight="false" outlineLevel="0" collapsed="false">
      <c r="A90" s="7" t="s">
        <v>999</v>
      </c>
      <c r="B90" s="12" t="s">
        <v>1000</v>
      </c>
      <c r="C90" s="31" t="n">
        <v>1000</v>
      </c>
      <c r="D90" s="6" t="s">
        <v>78</v>
      </c>
      <c r="E90" s="50" t="s">
        <v>920</v>
      </c>
      <c r="F90" s="6"/>
      <c r="G90" s="6"/>
      <c r="H90" s="6"/>
      <c r="I90" s="6"/>
      <c r="J90" s="12" t="s">
        <v>521</v>
      </c>
      <c r="K90" s="12" t="s">
        <v>1001</v>
      </c>
    </row>
    <row r="91" customFormat="false" ht="22.35" hidden="false" customHeight="false" outlineLevel="0" collapsed="false">
      <c r="A91" s="7" t="s">
        <v>999</v>
      </c>
      <c r="B91" s="12" t="s">
        <v>1002</v>
      </c>
      <c r="C91" s="31" t="n">
        <v>2250</v>
      </c>
      <c r="D91" s="6" t="s">
        <v>78</v>
      </c>
      <c r="E91" s="50" t="s">
        <v>920</v>
      </c>
      <c r="F91" s="6"/>
      <c r="G91" s="6"/>
      <c r="H91" s="6"/>
      <c r="I91" s="6"/>
      <c r="J91" s="12" t="s">
        <v>521</v>
      </c>
      <c r="K91" s="12" t="s">
        <v>1003</v>
      </c>
    </row>
    <row r="92" customFormat="false" ht="15" hidden="false" customHeight="false" outlineLevel="0" collapsed="false">
      <c r="A92" s="7" t="s">
        <v>1004</v>
      </c>
      <c r="B92" s="12" t="s">
        <v>1005</v>
      </c>
      <c r="C92" s="14" t="n">
        <v>14</v>
      </c>
      <c r="D92" s="6" t="s">
        <v>1006</v>
      </c>
      <c r="E92" s="50" t="s">
        <v>920</v>
      </c>
      <c r="F92" s="6"/>
      <c r="G92" s="6"/>
      <c r="H92" s="6"/>
      <c r="I92" s="6"/>
      <c r="J92" s="12" t="s">
        <v>1007</v>
      </c>
      <c r="K92" s="12" t="s">
        <v>1008</v>
      </c>
    </row>
    <row r="93" customFormat="false" ht="15" hidden="false" customHeight="false" outlineLevel="0" collapsed="false">
      <c r="A93" s="7" t="s">
        <v>1004</v>
      </c>
      <c r="B93" s="12" t="s">
        <v>1009</v>
      </c>
      <c r="C93" s="14" t="n">
        <v>11.1</v>
      </c>
      <c r="D93" s="6" t="s">
        <v>1006</v>
      </c>
      <c r="E93" s="50" t="s">
        <v>920</v>
      </c>
      <c r="F93" s="6"/>
      <c r="G93" s="6"/>
      <c r="H93" s="6"/>
      <c r="I93" s="6"/>
      <c r="J93" s="12" t="s">
        <v>1007</v>
      </c>
      <c r="K93" s="12" t="s">
        <v>1010</v>
      </c>
    </row>
    <row r="94" customFormat="false" ht="15" hidden="false" customHeight="false" outlineLevel="0" collapsed="false">
      <c r="A94" s="7" t="s">
        <v>1011</v>
      </c>
      <c r="B94" s="12" t="s">
        <v>1005</v>
      </c>
      <c r="C94" s="17" t="n">
        <v>0.41</v>
      </c>
      <c r="D94" s="6" t="s">
        <v>91</v>
      </c>
      <c r="E94" s="50" t="s">
        <v>920</v>
      </c>
      <c r="F94" s="6"/>
      <c r="G94" s="6"/>
      <c r="H94" s="6"/>
      <c r="I94" s="6"/>
      <c r="J94" s="12" t="s">
        <v>1007</v>
      </c>
      <c r="K94" s="12"/>
    </row>
    <row r="95" customFormat="false" ht="15" hidden="false" customHeight="false" outlineLevel="0" collapsed="false">
      <c r="A95" s="7" t="s">
        <v>1011</v>
      </c>
      <c r="B95" s="12" t="s">
        <v>1009</v>
      </c>
      <c r="C95" s="17" t="n">
        <v>0.33</v>
      </c>
      <c r="D95" s="6" t="s">
        <v>91</v>
      </c>
      <c r="E95" s="50" t="s">
        <v>920</v>
      </c>
      <c r="F95" s="6"/>
      <c r="G95" s="6"/>
      <c r="H95" s="6"/>
      <c r="I95" s="6"/>
      <c r="J95" s="12" t="s">
        <v>1007</v>
      </c>
      <c r="K95" s="12" t="s">
        <v>1012</v>
      </c>
    </row>
    <row r="96" customFormat="false" ht="22.35" hidden="false" customHeight="false" outlineLevel="0" collapsed="false">
      <c r="A96" s="7" t="s">
        <v>1013</v>
      </c>
      <c r="B96" s="12" t="s">
        <v>1014</v>
      </c>
      <c r="C96" s="31" t="n">
        <v>25</v>
      </c>
      <c r="D96" s="6" t="s">
        <v>440</v>
      </c>
      <c r="E96" s="50" t="s">
        <v>920</v>
      </c>
      <c r="F96" s="6"/>
      <c r="G96" s="6"/>
      <c r="H96" s="6"/>
      <c r="I96" s="6"/>
      <c r="J96" s="12" t="s">
        <v>835</v>
      </c>
      <c r="K96" s="12"/>
    </row>
    <row r="97" customFormat="false" ht="22.35" hidden="false" customHeight="false" outlineLevel="0" collapsed="false">
      <c r="A97" s="7" t="s">
        <v>1013</v>
      </c>
      <c r="B97" s="12" t="s">
        <v>460</v>
      </c>
      <c r="C97" s="31" t="n">
        <v>45</v>
      </c>
      <c r="D97" s="6" t="s">
        <v>440</v>
      </c>
      <c r="E97" s="50" t="s">
        <v>920</v>
      </c>
      <c r="F97" s="6"/>
      <c r="G97" s="6"/>
      <c r="H97" s="6"/>
      <c r="I97" s="6"/>
      <c r="J97" s="12" t="s">
        <v>835</v>
      </c>
      <c r="K97" s="12"/>
    </row>
    <row r="98" customFormat="false" ht="15" hidden="false" customHeight="false" outlineLevel="0" collapsed="false">
      <c r="A98" s="7" t="s">
        <v>1015</v>
      </c>
      <c r="B98" s="12" t="s">
        <v>457</v>
      </c>
      <c r="C98" s="31" t="n">
        <v>140</v>
      </c>
      <c r="D98" s="6" t="s">
        <v>456</v>
      </c>
      <c r="E98" s="50" t="s">
        <v>920</v>
      </c>
      <c r="F98" s="6"/>
      <c r="G98" s="6"/>
      <c r="H98" s="6"/>
      <c r="I98" s="6"/>
      <c r="J98" s="12" t="s">
        <v>458</v>
      </c>
      <c r="K98" s="12" t="s">
        <v>1016</v>
      </c>
    </row>
    <row r="99" customFormat="false" ht="15" hidden="false" customHeight="false" outlineLevel="0" collapsed="false">
      <c r="A99" s="7" t="s">
        <v>1015</v>
      </c>
      <c r="B99" s="12" t="s">
        <v>460</v>
      </c>
      <c r="C99" s="31" t="n">
        <v>127</v>
      </c>
      <c r="D99" s="6" t="s">
        <v>456</v>
      </c>
      <c r="E99" s="50" t="s">
        <v>920</v>
      </c>
      <c r="F99" s="6"/>
      <c r="G99" s="6"/>
      <c r="H99" s="6"/>
      <c r="I99" s="6"/>
      <c r="J99" s="12" t="s">
        <v>458</v>
      </c>
      <c r="K99" s="12" t="s">
        <v>1017</v>
      </c>
    </row>
    <row r="100" customFormat="false" ht="15" hidden="false" customHeight="false" outlineLevel="0" collapsed="false">
      <c r="A100" s="7" t="s">
        <v>1018</v>
      </c>
      <c r="B100" s="12" t="s">
        <v>463</v>
      </c>
      <c r="C100" s="31" t="n">
        <v>88</v>
      </c>
      <c r="D100" s="6" t="s">
        <v>462</v>
      </c>
      <c r="E100" s="50" t="s">
        <v>920</v>
      </c>
      <c r="F100" s="6"/>
      <c r="G100" s="6"/>
      <c r="H100" s="6"/>
      <c r="I100" s="6"/>
      <c r="J100" s="12" t="s">
        <v>458</v>
      </c>
      <c r="K100" s="12" t="s">
        <v>1019</v>
      </c>
    </row>
    <row r="101" customFormat="false" ht="15" hidden="false" customHeight="false" outlineLevel="0" collapsed="false">
      <c r="A101" s="7" t="s">
        <v>1018</v>
      </c>
      <c r="B101" s="12" t="s">
        <v>465</v>
      </c>
      <c r="C101" s="31" t="n">
        <v>82</v>
      </c>
      <c r="D101" s="6" t="s">
        <v>462</v>
      </c>
      <c r="E101" s="50" t="s">
        <v>920</v>
      </c>
      <c r="F101" s="6"/>
      <c r="G101" s="6"/>
      <c r="H101" s="6"/>
      <c r="I101" s="6"/>
      <c r="J101" s="12" t="s">
        <v>458</v>
      </c>
      <c r="K101" s="12" t="s">
        <v>1019</v>
      </c>
    </row>
    <row r="102" customFormat="false" ht="15" hidden="false" customHeight="false" outlineLevel="0" collapsed="false">
      <c r="A102" s="7" t="s">
        <v>1020</v>
      </c>
      <c r="B102" s="12" t="s">
        <v>465</v>
      </c>
      <c r="C102" s="31" t="n">
        <v>322</v>
      </c>
      <c r="D102" s="6" t="s">
        <v>467</v>
      </c>
      <c r="E102" s="50" t="s">
        <v>920</v>
      </c>
      <c r="F102" s="6"/>
      <c r="G102" s="6"/>
      <c r="H102" s="6"/>
      <c r="I102" s="6"/>
      <c r="J102" s="12" t="s">
        <v>458</v>
      </c>
      <c r="K102" s="12" t="s">
        <v>1021</v>
      </c>
    </row>
    <row r="103" customFormat="false" ht="22.35" hidden="false" customHeight="false" outlineLevel="0" collapsed="false">
      <c r="A103" s="7" t="s">
        <v>1022</v>
      </c>
      <c r="B103" s="12" t="s">
        <v>212</v>
      </c>
      <c r="C103" s="17" t="n">
        <v>0.051</v>
      </c>
      <c r="D103" s="6" t="s">
        <v>91</v>
      </c>
      <c r="E103" s="50" t="s">
        <v>920</v>
      </c>
      <c r="F103" s="6"/>
      <c r="G103" s="6"/>
      <c r="H103" s="6"/>
      <c r="I103" s="6"/>
      <c r="J103" s="12" t="s">
        <v>1023</v>
      </c>
      <c r="K103" s="12" t="s">
        <v>1024</v>
      </c>
    </row>
    <row r="104" customFormat="false" ht="15" hidden="false" customHeight="false" outlineLevel="0" collapsed="false">
      <c r="A104" s="7" t="s">
        <v>214</v>
      </c>
      <c r="B104" s="12" t="s">
        <v>215</v>
      </c>
      <c r="C104" s="17" t="n">
        <v>0.242</v>
      </c>
      <c r="D104" s="6" t="s">
        <v>91</v>
      </c>
      <c r="E104" s="50" t="s">
        <v>920</v>
      </c>
      <c r="F104" s="6"/>
      <c r="G104" s="6"/>
      <c r="H104" s="6"/>
      <c r="I104" s="6"/>
      <c r="J104" s="12" t="s">
        <v>216</v>
      </c>
      <c r="K104" s="12" t="s">
        <v>1025</v>
      </c>
    </row>
    <row r="105" customFormat="false" ht="15" hidden="false" customHeight="false" outlineLevel="0" collapsed="false">
      <c r="A105" s="7" t="s">
        <v>217</v>
      </c>
      <c r="B105" s="12" t="s">
        <v>218</v>
      </c>
      <c r="C105" s="17" t="n">
        <v>0.06</v>
      </c>
      <c r="D105" s="6" t="s">
        <v>91</v>
      </c>
      <c r="E105" s="50" t="s">
        <v>920</v>
      </c>
      <c r="F105" s="6"/>
      <c r="G105" s="6"/>
      <c r="H105" s="6"/>
      <c r="I105" s="6"/>
      <c r="J105" s="12" t="s">
        <v>216</v>
      </c>
      <c r="K105" s="12" t="s">
        <v>1025</v>
      </c>
    </row>
    <row r="106" customFormat="false" ht="15" hidden="false" customHeight="false" outlineLevel="0" collapsed="false">
      <c r="A106" s="7" t="s">
        <v>219</v>
      </c>
      <c r="B106" s="12" t="s">
        <v>218</v>
      </c>
      <c r="C106" s="17" t="n">
        <v>0.048</v>
      </c>
      <c r="D106" s="6" t="s">
        <v>91</v>
      </c>
      <c r="E106" s="50" t="s">
        <v>920</v>
      </c>
      <c r="F106" s="6"/>
      <c r="G106" s="6"/>
      <c r="H106" s="6"/>
      <c r="I106" s="6"/>
      <c r="J106" s="12" t="s">
        <v>216</v>
      </c>
      <c r="K106" s="12" t="s">
        <v>1025</v>
      </c>
    </row>
    <row r="107" customFormat="false" ht="15" hidden="false" customHeight="false" outlineLevel="0" collapsed="false">
      <c r="A107" s="7" t="s">
        <v>225</v>
      </c>
      <c r="B107" s="12" t="s">
        <v>226</v>
      </c>
      <c r="C107" s="17" t="n">
        <v>0.195</v>
      </c>
      <c r="D107" s="6" t="s">
        <v>91</v>
      </c>
      <c r="E107" s="50" t="s">
        <v>920</v>
      </c>
      <c r="F107" s="6"/>
      <c r="G107" s="6"/>
      <c r="H107" s="6"/>
      <c r="I107" s="6"/>
      <c r="J107" s="12" t="s">
        <v>216</v>
      </c>
      <c r="K107" s="12"/>
    </row>
    <row r="108" customFormat="false" ht="15" hidden="false" customHeight="false" outlineLevel="0" collapsed="false">
      <c r="A108" s="7" t="s">
        <v>1026</v>
      </c>
      <c r="B108" s="12" t="s">
        <v>226</v>
      </c>
      <c r="C108" s="14" t="n">
        <v>6.4</v>
      </c>
      <c r="D108" s="6" t="s">
        <v>84</v>
      </c>
      <c r="E108" s="50" t="s">
        <v>920</v>
      </c>
      <c r="F108" s="6"/>
      <c r="G108" s="6"/>
      <c r="H108" s="6"/>
      <c r="I108" s="6"/>
      <c r="J108" s="12" t="s">
        <v>216</v>
      </c>
      <c r="K108" s="12"/>
    </row>
  </sheetData>
  <autoFilter ref="A47:K108"/>
  <hyperlinks>
    <hyperlink ref="K7" r:id="rId1" display="see period columns"/>
    <hyperlink ref="E48" r:id="rId2" display="link"/>
    <hyperlink ref="E49" r:id="rId3" display="link"/>
    <hyperlink ref="E50" r:id="rId4" display="link"/>
    <hyperlink ref="E51" r:id="rId5" display="link"/>
    <hyperlink ref="E52" r:id="rId6" display="link"/>
    <hyperlink ref="E53" r:id="rId7" display="link"/>
    <hyperlink ref="E54" r:id="rId8" display="link"/>
    <hyperlink ref="E55" r:id="rId9" display="link"/>
    <hyperlink ref="E56" r:id="rId10" display="link"/>
    <hyperlink ref="E57" r:id="rId11" display="link"/>
    <hyperlink ref="E58" r:id="rId12" display="link"/>
    <hyperlink ref="E59" r:id="rId13" display="link"/>
    <hyperlink ref="E60" r:id="rId14" display="link"/>
    <hyperlink ref="E61" r:id="rId15" display="link"/>
    <hyperlink ref="E62" r:id="rId16" display="link"/>
    <hyperlink ref="E63" r:id="rId17" display="link"/>
    <hyperlink ref="E64" r:id="rId18" display="link"/>
    <hyperlink ref="E65" r:id="rId19" display="link"/>
    <hyperlink ref="E66" r:id="rId20" display="link"/>
    <hyperlink ref="E67" r:id="rId21" display="link"/>
    <hyperlink ref="E68" r:id="rId22" display="link"/>
    <hyperlink ref="E69" r:id="rId23" display="link"/>
    <hyperlink ref="E70" r:id="rId24" display="link"/>
    <hyperlink ref="E71" r:id="rId25" display="link"/>
    <hyperlink ref="E72" r:id="rId26" display="link"/>
    <hyperlink ref="E73" r:id="rId27" display="link"/>
    <hyperlink ref="E74" r:id="rId28" display="link"/>
    <hyperlink ref="E75" r:id="rId29" display="link"/>
    <hyperlink ref="E76" r:id="rId30" display="link"/>
    <hyperlink ref="E77" r:id="rId31" display="link"/>
    <hyperlink ref="E78" r:id="rId32" display="link"/>
    <hyperlink ref="E79" r:id="rId33" display="link"/>
    <hyperlink ref="E80" r:id="rId34" display="link"/>
    <hyperlink ref="E81" r:id="rId35" display="link"/>
    <hyperlink ref="E82" r:id="rId36" display="link"/>
    <hyperlink ref="E83" r:id="rId37" display="link"/>
    <hyperlink ref="E84" r:id="rId38" display="link"/>
    <hyperlink ref="E85" r:id="rId39" display="link"/>
    <hyperlink ref="E86" r:id="rId40" display="link"/>
    <hyperlink ref="E87" r:id="rId41" display="link"/>
    <hyperlink ref="E88" r:id="rId42" display="link"/>
    <hyperlink ref="E89" r:id="rId43" display="link"/>
    <hyperlink ref="E90" r:id="rId44" display="link"/>
    <hyperlink ref="E91" r:id="rId45" display="link"/>
    <hyperlink ref="E92" r:id="rId46" display="link"/>
    <hyperlink ref="E93" r:id="rId47" display="link"/>
    <hyperlink ref="E94" r:id="rId48" display="link"/>
    <hyperlink ref="E95" r:id="rId49" display="link"/>
    <hyperlink ref="E96" r:id="rId50" display="link"/>
    <hyperlink ref="E97" r:id="rId51" display="link"/>
    <hyperlink ref="E98" r:id="rId52" display="link"/>
    <hyperlink ref="E99" r:id="rId53" display="link"/>
    <hyperlink ref="E100" r:id="rId54" display="link"/>
    <hyperlink ref="E101" r:id="rId55" display="link"/>
    <hyperlink ref="E102" r:id="rId56" display="link"/>
    <hyperlink ref="E103" r:id="rId57" display="link"/>
    <hyperlink ref="E104" r:id="rId58" display="link"/>
    <hyperlink ref="E105" r:id="rId59" display="link"/>
    <hyperlink ref="E106" r:id="rId60" display="link"/>
    <hyperlink ref="E107" r:id="rId61" display="link"/>
    <hyperlink ref="E108" r:id="rId62"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724A"/>
    <pageSetUpPr fitToPage="false"/>
  </sheetPr>
  <dimension ref="A1:L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3"/>
    <col collapsed="false" customWidth="true" hidden="false" outlineLevel="0" max="8" min="4" style="0" width="12"/>
    <col collapsed="false" customWidth="true" hidden="false" outlineLevel="0" max="9" min="9" style="0" width="11"/>
    <col collapsed="false" customWidth="true" hidden="false" outlineLevel="0" max="11" min="10" style="0" width="12"/>
    <col collapsed="false" customWidth="true" hidden="false" outlineLevel="0" max="12" min="12" style="0" width="14"/>
  </cols>
  <sheetData>
    <row r="1" customFormat="false" ht="21.75" hidden="false" customHeight="true" outlineLevel="0" collapsed="false">
      <c r="A1" s="1" t="s">
        <v>1027</v>
      </c>
    </row>
    <row r="2" customFormat="false" ht="15" hidden="false" customHeight="false" outlineLevel="0" collapsed="false">
      <c r="A2" s="2" t="s">
        <v>1028</v>
      </c>
    </row>
    <row r="4" customFormat="false" ht="15" hidden="false" customHeight="false" outlineLevel="0" collapsed="false">
      <c r="A4" s="3" t="s">
        <v>543</v>
      </c>
    </row>
    <row r="5" customFormat="false" ht="30" hidden="false" customHeight="true" outlineLevel="0" collapsed="false">
      <c r="A5" s="5" t="s">
        <v>1029</v>
      </c>
      <c r="B5" s="5" t="s">
        <v>877</v>
      </c>
      <c r="C5" s="5" t="s">
        <v>664</v>
      </c>
      <c r="D5" s="5" t="s">
        <v>552</v>
      </c>
      <c r="E5" s="5" t="s">
        <v>555</v>
      </c>
      <c r="F5" s="5" t="s">
        <v>602</v>
      </c>
      <c r="G5" s="5" t="s">
        <v>638</v>
      </c>
      <c r="H5" s="5" t="s">
        <v>561</v>
      </c>
      <c r="I5" s="5" t="s">
        <v>562</v>
      </c>
      <c r="J5" s="5" t="s">
        <v>1030</v>
      </c>
      <c r="K5" s="5" t="s">
        <v>1031</v>
      </c>
      <c r="L5" s="5" t="s">
        <v>162</v>
      </c>
    </row>
    <row r="6" customFormat="false" ht="15" hidden="false" customHeight="false" outlineLevel="0" collapsed="false">
      <c r="A6" s="7" t="s">
        <v>1032</v>
      </c>
      <c r="B6" s="12" t="s">
        <v>1033</v>
      </c>
      <c r="C6" s="12" t="s">
        <v>1034</v>
      </c>
      <c r="D6" s="14" t="n">
        <v>1297.6</v>
      </c>
      <c r="E6" s="14" t="n">
        <v>325.2</v>
      </c>
      <c r="F6" s="26" t="n">
        <f aca="false">E6/D6</f>
        <v>0.250616522811344</v>
      </c>
      <c r="G6" s="14" t="n">
        <v>175</v>
      </c>
      <c r="H6" s="14" t="n">
        <v>99.8</v>
      </c>
      <c r="I6" s="14" t="n">
        <v>9.5</v>
      </c>
      <c r="J6" s="42" t="n">
        <v>-0.14</v>
      </c>
      <c r="K6" s="43"/>
      <c r="L6" s="49" t="s">
        <v>1035</v>
      </c>
    </row>
    <row r="7" customFormat="false" ht="15" hidden="false" customHeight="false" outlineLevel="0" collapsed="false">
      <c r="A7" s="7" t="s">
        <v>1036</v>
      </c>
      <c r="B7" s="12" t="s">
        <v>1037</v>
      </c>
      <c r="C7" s="12" t="s">
        <v>1038</v>
      </c>
      <c r="D7" s="14" t="n">
        <v>1404.8</v>
      </c>
      <c r="E7" s="14" t="n">
        <v>370.6</v>
      </c>
      <c r="F7" s="26" t="n">
        <f aca="false">E7/D7</f>
        <v>0.263809794988611</v>
      </c>
      <c r="G7" s="14" t="n">
        <v>183.3</v>
      </c>
      <c r="H7" s="14" t="n">
        <v>147.5</v>
      </c>
      <c r="I7" s="14" t="n">
        <v>64.4</v>
      </c>
      <c r="J7" s="42" t="n">
        <v>0.39</v>
      </c>
      <c r="K7" s="43"/>
      <c r="L7" s="49" t="s">
        <v>1035</v>
      </c>
    </row>
    <row r="8" customFormat="false" ht="15" hidden="false" customHeight="false" outlineLevel="0" collapsed="false">
      <c r="A8" s="7" t="s">
        <v>1039</v>
      </c>
      <c r="B8" s="12" t="s">
        <v>878</v>
      </c>
      <c r="C8" s="12" t="s">
        <v>1040</v>
      </c>
      <c r="D8" s="14" t="n">
        <v>1246</v>
      </c>
      <c r="E8" s="14" t="n">
        <v>327</v>
      </c>
      <c r="F8" s="26" t="n">
        <f aca="false">E8/D8</f>
        <v>0.262439807383628</v>
      </c>
      <c r="G8" s="14" t="n">
        <v>145</v>
      </c>
      <c r="H8" s="14" t="n">
        <v>109</v>
      </c>
      <c r="I8" s="14" t="n">
        <v>79</v>
      </c>
      <c r="J8" s="42" t="n">
        <v>0.28</v>
      </c>
      <c r="K8" s="43"/>
      <c r="L8" s="49" t="s">
        <v>1035</v>
      </c>
    </row>
    <row r="9" customFormat="false" ht="15" hidden="false" customHeight="false" outlineLevel="0" collapsed="false">
      <c r="A9" s="7" t="s">
        <v>1041</v>
      </c>
      <c r="B9" s="12" t="s">
        <v>1042</v>
      </c>
      <c r="C9" s="12" t="s">
        <v>1043</v>
      </c>
      <c r="D9" s="14" t="n">
        <v>1598</v>
      </c>
      <c r="E9" s="14" t="n">
        <v>421</v>
      </c>
      <c r="F9" s="26" t="n">
        <f aca="false">E9/D9</f>
        <v>0.263454317897372</v>
      </c>
      <c r="G9" s="14" t="n">
        <v>216</v>
      </c>
      <c r="H9" s="14" t="n">
        <v>180</v>
      </c>
      <c r="I9" s="14" t="n">
        <v>86</v>
      </c>
      <c r="J9" s="42" t="n">
        <v>0.5</v>
      </c>
      <c r="K9" s="43" t="n">
        <f aca="false">SUM(D6:D9)</f>
        <v>5546.4</v>
      </c>
      <c r="L9" s="49" t="s">
        <v>1035</v>
      </c>
    </row>
    <row r="10" customFormat="false" ht="15" hidden="false" customHeight="false" outlineLevel="0" collapsed="false">
      <c r="A10" s="7" t="s">
        <v>1044</v>
      </c>
      <c r="B10" s="12" t="s">
        <v>904</v>
      </c>
      <c r="C10" s="12" t="s">
        <v>1045</v>
      </c>
      <c r="D10" s="14" t="n">
        <v>1861</v>
      </c>
      <c r="E10" s="14" t="n">
        <v>501</v>
      </c>
      <c r="F10" s="26" t="n">
        <f aca="false">E10/D10</f>
        <v>0.269210102095648</v>
      </c>
      <c r="G10" s="14" t="n">
        <v>271</v>
      </c>
      <c r="H10" s="14" t="n">
        <v>237</v>
      </c>
      <c r="I10" s="14" t="n">
        <v>115</v>
      </c>
      <c r="J10" s="42" t="n">
        <v>0.67</v>
      </c>
      <c r="K10" s="43" t="n">
        <f aca="false">SUM(D7:D10)</f>
        <v>6109.8</v>
      </c>
      <c r="L10" s="49" t="s">
        <v>1035</v>
      </c>
    </row>
    <row r="11" customFormat="false" ht="15" hidden="false" customHeight="false" outlineLevel="0" collapsed="false">
      <c r="A11" s="7" t="s">
        <v>1046</v>
      </c>
      <c r="B11" s="12" t="s">
        <v>1047</v>
      </c>
      <c r="C11" s="12" t="s">
        <v>1048</v>
      </c>
      <c r="D11" s="14" t="n">
        <v>1818</v>
      </c>
      <c r="E11" s="14" t="n">
        <v>500</v>
      </c>
      <c r="F11" s="26" t="n">
        <f aca="false">E11/D11</f>
        <v>0.275027502750275</v>
      </c>
      <c r="G11" s="14" t="n">
        <v>344</v>
      </c>
      <c r="H11" s="14" t="n">
        <v>234</v>
      </c>
      <c r="I11" s="14" t="n">
        <v>111</v>
      </c>
      <c r="J11" s="42" t="n">
        <v>0.65</v>
      </c>
      <c r="K11" s="43" t="n">
        <f aca="false">SUM(D8:D11)</f>
        <v>6523</v>
      </c>
      <c r="L11" s="49" t="s">
        <v>1035</v>
      </c>
    </row>
    <row r="12" customFormat="false" ht="15" hidden="false" customHeight="false" outlineLevel="0" collapsed="false">
      <c r="A12" s="7" t="s">
        <v>1049</v>
      </c>
      <c r="B12" s="12" t="s">
        <v>879</v>
      </c>
      <c r="C12" s="12" t="s">
        <v>1050</v>
      </c>
      <c r="D12" s="14" t="n">
        <v>1374</v>
      </c>
      <c r="E12" s="14" t="n">
        <v>373</v>
      </c>
      <c r="F12" s="26" t="n">
        <f aca="false">E12/D12</f>
        <v>0.271470160116448</v>
      </c>
      <c r="G12" s="14" t="n">
        <v>160</v>
      </c>
      <c r="H12" s="14" t="n">
        <v>124</v>
      </c>
      <c r="I12" s="14" t="n">
        <v>84</v>
      </c>
      <c r="J12" s="42" t="n">
        <v>0.31</v>
      </c>
      <c r="K12" s="43" t="n">
        <f aca="false">SUM(D9:D12)</f>
        <v>6651</v>
      </c>
      <c r="L12" s="49" t="s">
        <v>1035</v>
      </c>
    </row>
    <row r="13" customFormat="false" ht="15" hidden="false" customHeight="false" outlineLevel="0" collapsed="false">
      <c r="A13" s="7" t="s">
        <v>1051</v>
      </c>
      <c r="B13" s="12" t="s">
        <v>1052</v>
      </c>
      <c r="C13" s="12" t="s">
        <v>1053</v>
      </c>
      <c r="D13" s="14" t="n">
        <v>1574</v>
      </c>
      <c r="E13" s="14" t="n">
        <v>439</v>
      </c>
      <c r="F13" s="26" t="n">
        <f aca="false">E13/D13</f>
        <v>0.278907242693774</v>
      </c>
      <c r="G13" s="14" t="n">
        <v>217</v>
      </c>
      <c r="H13" s="14" t="n">
        <v>181</v>
      </c>
      <c r="I13" s="14" t="n">
        <v>86</v>
      </c>
      <c r="J13" s="42" t="n">
        <v>0.5</v>
      </c>
      <c r="K13" s="43" t="n">
        <f aca="false">SUM(D10:D13)</f>
        <v>6627</v>
      </c>
      <c r="L13" s="49" t="s">
        <v>1035</v>
      </c>
    </row>
    <row r="14" customFormat="false" ht="15" hidden="false" customHeight="false" outlineLevel="0" collapsed="false">
      <c r="A14" s="7" t="s">
        <v>1054</v>
      </c>
      <c r="B14" s="12" t="s">
        <v>1055</v>
      </c>
      <c r="C14" s="12" t="s">
        <v>1056</v>
      </c>
      <c r="D14" s="14" t="n">
        <v>1861</v>
      </c>
      <c r="E14" s="14" t="n">
        <v>501</v>
      </c>
      <c r="F14" s="26" t="n">
        <f aca="false">E14/D14</f>
        <v>0.269210102095648</v>
      </c>
      <c r="G14" s="14" t="n">
        <v>301</v>
      </c>
      <c r="H14" s="14" t="n">
        <v>226</v>
      </c>
      <c r="I14" s="14" t="n">
        <v>110</v>
      </c>
      <c r="J14" s="42" t="n">
        <v>0.66</v>
      </c>
      <c r="K14" s="43" t="n">
        <f aca="false">SUM(D11:D14)</f>
        <v>6627</v>
      </c>
      <c r="L14" s="49" t="s">
        <v>1035</v>
      </c>
    </row>
    <row r="15" customFormat="false" ht="15" hidden="false" customHeight="false" outlineLevel="0" collapsed="false">
      <c r="A15" s="7" t="s">
        <v>1057</v>
      </c>
      <c r="B15" s="12" t="s">
        <v>1058</v>
      </c>
      <c r="C15" s="12" t="s">
        <v>1059</v>
      </c>
      <c r="D15" s="14" t="n">
        <v>1827</v>
      </c>
      <c r="E15" s="14" t="n">
        <v>494</v>
      </c>
      <c r="F15" s="26" t="n">
        <f aca="false">E15/D15</f>
        <v>0.270388615216201</v>
      </c>
      <c r="G15" s="14" t="n">
        <v>255</v>
      </c>
      <c r="H15" s="14" t="n">
        <v>217</v>
      </c>
      <c r="I15" s="14" t="n">
        <v>112</v>
      </c>
      <c r="J15" s="42" t="n">
        <v>0.65</v>
      </c>
      <c r="K15" s="43" t="n">
        <f aca="false">SUM(D12:D15)</f>
        <v>6636</v>
      </c>
      <c r="L15" s="49" t="s">
        <v>1035</v>
      </c>
    </row>
    <row r="16" customFormat="false" ht="15" hidden="false" customHeight="false" outlineLevel="0" collapsed="false">
      <c r="A16" s="7" t="s">
        <v>1060</v>
      </c>
      <c r="B16" s="12" t="s">
        <v>880</v>
      </c>
      <c r="C16" s="12" t="s">
        <v>1061</v>
      </c>
      <c r="D16" s="14" t="n">
        <v>1440</v>
      </c>
      <c r="E16" s="14" t="n">
        <v>384</v>
      </c>
      <c r="F16" s="26" t="n">
        <f aca="false">E16/D16</f>
        <v>0.266666666666667</v>
      </c>
      <c r="G16" s="14" t="n">
        <v>154</v>
      </c>
      <c r="H16" s="14" t="n">
        <v>116</v>
      </c>
      <c r="I16" s="14" t="n">
        <v>63</v>
      </c>
      <c r="J16" s="42" t="n">
        <v>0.34</v>
      </c>
      <c r="K16" s="43" t="n">
        <f aca="false">SUM(D13:D16)</f>
        <v>6702</v>
      </c>
      <c r="L16" s="49" t="s">
        <v>1035</v>
      </c>
    </row>
    <row r="17" customFormat="false" ht="15" hidden="false" customHeight="false" outlineLevel="0" collapsed="false">
      <c r="A17" s="7" t="s">
        <v>1062</v>
      </c>
      <c r="B17" s="12" t="s">
        <v>1063</v>
      </c>
      <c r="C17" s="12" t="s">
        <v>1064</v>
      </c>
      <c r="D17" s="14" t="n">
        <v>1741</v>
      </c>
      <c r="E17" s="14" t="n">
        <v>468</v>
      </c>
      <c r="F17" s="26" t="n">
        <f aca="false">E17/D17</f>
        <v>0.268811028144744</v>
      </c>
      <c r="G17" s="14" t="n">
        <v>212</v>
      </c>
      <c r="H17" s="14" t="n">
        <v>168</v>
      </c>
      <c r="I17" s="14" t="n">
        <v>95</v>
      </c>
      <c r="J17" s="42" t="n">
        <v>0.49</v>
      </c>
      <c r="K17" s="43" t="n">
        <f aca="false">SUM(D14:D17)</f>
        <v>6869</v>
      </c>
      <c r="L17" s="49" t="s">
        <v>1035</v>
      </c>
    </row>
    <row r="18" customFormat="false" ht="15" hidden="false" customHeight="false" outlineLevel="0" collapsed="false">
      <c r="A18" s="7" t="s">
        <v>1065</v>
      </c>
      <c r="B18" s="12" t="s">
        <v>1066</v>
      </c>
      <c r="C18" s="12" t="s">
        <v>1067</v>
      </c>
      <c r="D18" s="14" t="n">
        <v>1964</v>
      </c>
      <c r="E18" s="14" t="n">
        <v>518</v>
      </c>
      <c r="F18" s="26" t="n">
        <f aca="false">E18/D18</f>
        <v>0.263747454175153</v>
      </c>
      <c r="G18" s="14" t="n">
        <v>250</v>
      </c>
      <c r="H18" s="14" t="n">
        <v>204</v>
      </c>
      <c r="I18" s="14" t="n">
        <v>126</v>
      </c>
      <c r="J18" s="42" t="n">
        <v>0.61</v>
      </c>
      <c r="K18" s="43" t="n">
        <f aca="false">SUM(D15:D18)</f>
        <v>6972</v>
      </c>
      <c r="L18" s="49" t="s">
        <v>1035</v>
      </c>
    </row>
    <row r="19" customFormat="false" ht="15" hidden="false" customHeight="false" outlineLevel="0" collapsed="false">
      <c r="A19" s="7" t="s">
        <v>1068</v>
      </c>
      <c r="B19" s="12" t="s">
        <v>1069</v>
      </c>
      <c r="C19" s="12" t="s">
        <v>1070</v>
      </c>
      <c r="D19" s="14" t="n">
        <v>2038</v>
      </c>
      <c r="E19" s="14" t="n">
        <v>543</v>
      </c>
      <c r="F19" s="26" t="n">
        <f aca="false">E19/D19</f>
        <v>0.266437684003925</v>
      </c>
      <c r="G19" s="14" t="n">
        <v>367</v>
      </c>
      <c r="H19" s="14" t="n">
        <v>223</v>
      </c>
      <c r="I19" s="14" t="n">
        <v>140</v>
      </c>
      <c r="J19" s="42" t="n">
        <v>0.69</v>
      </c>
      <c r="K19" s="43" t="n">
        <f aca="false">SUM(D16:D19)</f>
        <v>7183</v>
      </c>
      <c r="L19" s="49" t="s">
        <v>1035</v>
      </c>
    </row>
    <row r="20" customFormat="false" ht="15" hidden="false" customHeight="false" outlineLevel="0" collapsed="false">
      <c r="A20" s="7" t="s">
        <v>1071</v>
      </c>
      <c r="B20" s="12" t="s">
        <v>881</v>
      </c>
      <c r="C20" s="12" t="s">
        <v>1072</v>
      </c>
      <c r="D20" s="14" t="n">
        <v>1698</v>
      </c>
      <c r="E20" s="14" t="n">
        <v>451</v>
      </c>
      <c r="F20" s="26" t="n">
        <f aca="false">E20/D20</f>
        <v>0.265606595995289</v>
      </c>
      <c r="G20" s="14" t="n">
        <v>318</v>
      </c>
      <c r="H20" s="14" t="n">
        <v>124</v>
      </c>
      <c r="I20" s="14" t="n">
        <v>67</v>
      </c>
      <c r="J20" s="42" t="n">
        <v>0.33</v>
      </c>
      <c r="K20" s="43" t="n">
        <f aca="false">SUM(D17:D20)</f>
        <v>7441</v>
      </c>
      <c r="L20" s="49" t="s">
        <v>1035</v>
      </c>
    </row>
    <row r="21" customFormat="false" ht="15" hidden="false" customHeight="false" outlineLevel="0" collapsed="false">
      <c r="A21" s="7" t="s">
        <v>1073</v>
      </c>
      <c r="B21" s="12" t="s">
        <v>1074</v>
      </c>
      <c r="C21" s="12" t="s">
        <v>1075</v>
      </c>
      <c r="D21" s="14" t="n">
        <v>1911</v>
      </c>
      <c r="E21" s="14" t="n">
        <v>510</v>
      </c>
      <c r="F21" s="26" t="n">
        <f aca="false">E21/D21</f>
        <v>0.266875981161696</v>
      </c>
      <c r="G21" s="14" t="n">
        <v>219</v>
      </c>
      <c r="H21" s="14" t="n">
        <v>171</v>
      </c>
      <c r="I21" s="14" t="n">
        <v>100</v>
      </c>
      <c r="J21" s="42" t="n">
        <v>0.52</v>
      </c>
      <c r="K21" s="43" t="n">
        <f aca="false">SUM(D18:D21)</f>
        <v>7611</v>
      </c>
      <c r="L21" s="49" t="s">
        <v>1035</v>
      </c>
    </row>
    <row r="22" customFormat="false" ht="15" hidden="false" customHeight="false" outlineLevel="0" collapsed="false">
      <c r="A22" s="7" t="s">
        <v>1076</v>
      </c>
      <c r="B22" s="12" t="s">
        <v>1077</v>
      </c>
      <c r="C22" s="12" t="s">
        <v>1078</v>
      </c>
      <c r="D22" s="14" t="n">
        <v>2093</v>
      </c>
      <c r="E22" s="14" t="n">
        <v>560</v>
      </c>
      <c r="F22" s="26" t="n">
        <f aca="false">E22/D22</f>
        <v>0.267558528428094</v>
      </c>
      <c r="G22" s="14" t="n">
        <v>259</v>
      </c>
      <c r="H22" s="14" t="n">
        <v>213</v>
      </c>
      <c r="I22" s="14" t="n">
        <v>141</v>
      </c>
      <c r="J22" s="42" t="n">
        <v>0.7</v>
      </c>
      <c r="K22" s="43" t="n">
        <f aca="false">SUM(D19:D22)</f>
        <v>7740</v>
      </c>
      <c r="L22" s="49" t="s">
        <v>1035</v>
      </c>
    </row>
    <row r="23" customFormat="false" ht="15" hidden="false" customHeight="false" outlineLevel="0" collapsed="false">
      <c r="A23" s="7" t="s">
        <v>1079</v>
      </c>
      <c r="B23" s="12" t="s">
        <v>1080</v>
      </c>
      <c r="C23" s="12" t="s">
        <v>1081</v>
      </c>
      <c r="D23" s="14" t="n">
        <v>2062</v>
      </c>
      <c r="E23" s="14" t="n">
        <v>561</v>
      </c>
      <c r="F23" s="26" t="n">
        <f aca="false">E23/D23</f>
        <v>0.272065955383123</v>
      </c>
      <c r="G23" s="14" t="n">
        <v>267</v>
      </c>
      <c r="H23" s="14" t="n">
        <v>220</v>
      </c>
      <c r="I23" s="14" t="n">
        <v>143</v>
      </c>
      <c r="J23" s="42" t="n">
        <v>0.72</v>
      </c>
      <c r="K23" s="43" t="n">
        <f aca="false">SUM(D20:D23)</f>
        <v>7764</v>
      </c>
      <c r="L23" s="49" t="s">
        <v>1035</v>
      </c>
    </row>
    <row r="24" customFormat="false" ht="15" hidden="false" customHeight="false" outlineLevel="0" collapsed="false">
      <c r="A24" s="7" t="s">
        <v>1082</v>
      </c>
      <c r="B24" s="12" t="s">
        <v>882</v>
      </c>
      <c r="C24" s="12" t="s">
        <v>1083</v>
      </c>
      <c r="D24" s="14" t="n">
        <v>1581</v>
      </c>
      <c r="E24" s="14" t="n">
        <v>428</v>
      </c>
      <c r="F24" s="26" t="n">
        <f aca="false">E24/D24</f>
        <v>0.270714737507906</v>
      </c>
      <c r="G24" s="14" t="n">
        <v>169</v>
      </c>
      <c r="H24" s="14" t="n">
        <v>118</v>
      </c>
      <c r="I24" s="14" t="n">
        <v>73</v>
      </c>
      <c r="J24" s="42" t="n">
        <v>0.37</v>
      </c>
      <c r="K24" s="43" t="n">
        <f aca="false">SUM(D21:D24)</f>
        <v>7647</v>
      </c>
      <c r="L24" s="49" t="s">
        <v>1035</v>
      </c>
    </row>
    <row r="25" customFormat="false" ht="15" hidden="false" customHeight="false" outlineLevel="0" collapsed="false">
      <c r="A25" s="7" t="s">
        <v>1084</v>
      </c>
      <c r="B25" s="12" t="s">
        <v>1085</v>
      </c>
      <c r="C25" s="12" t="s">
        <v>1086</v>
      </c>
      <c r="D25" s="14" t="n">
        <v>1910</v>
      </c>
      <c r="E25" s="14" t="n">
        <v>520</v>
      </c>
      <c r="F25" s="26" t="n">
        <f aca="false">E25/D25</f>
        <v>0.272251308900524</v>
      </c>
      <c r="G25" s="14" t="n">
        <v>223</v>
      </c>
      <c r="H25" s="14" t="n">
        <v>177</v>
      </c>
      <c r="I25" s="14" t="n">
        <v>113</v>
      </c>
      <c r="J25" s="42" t="n">
        <v>0.57</v>
      </c>
      <c r="K25" s="43" t="n">
        <f aca="false">SUM(D22:D25)</f>
        <v>7646</v>
      </c>
      <c r="L25" s="49" t="s">
        <v>1035</v>
      </c>
    </row>
    <row r="27" customFormat="false" ht="15" hidden="false" customHeight="false" outlineLevel="0" collapsed="false">
      <c r="A27" s="3" t="s">
        <v>1087</v>
      </c>
    </row>
    <row r="28" customFormat="false" ht="30" hidden="false" customHeight="true" outlineLevel="0" collapsed="false">
      <c r="A28" s="5" t="s">
        <v>1088</v>
      </c>
      <c r="B28" s="5" t="s">
        <v>1089</v>
      </c>
      <c r="C28" s="5" t="s">
        <v>1090</v>
      </c>
      <c r="D28" s="5" t="s">
        <v>1091</v>
      </c>
      <c r="E28" s="5"/>
      <c r="F28" s="5"/>
      <c r="G28" s="5"/>
      <c r="H28" s="5"/>
      <c r="I28" s="5"/>
      <c r="J28" s="5"/>
      <c r="K28" s="5"/>
      <c r="L28" s="5" t="s">
        <v>1092</v>
      </c>
    </row>
    <row r="29" customFormat="false" ht="15" hidden="false" customHeight="false" outlineLevel="0" collapsed="false">
      <c r="A29" s="7" t="s">
        <v>874</v>
      </c>
      <c r="B29" s="15" t="n">
        <f aca="false">SUM(D9:D12)</f>
        <v>6651</v>
      </c>
      <c r="C29" s="46" t="n">
        <f aca="false">Annual!C7</f>
        <v>6651</v>
      </c>
      <c r="D29" s="15" t="n">
        <f aca="false">B29-C29</f>
        <v>0</v>
      </c>
      <c r="E29" s="6"/>
      <c r="F29" s="6"/>
      <c r="G29" s="6"/>
      <c r="H29" s="6"/>
      <c r="I29" s="6"/>
      <c r="J29" s="6"/>
      <c r="K29" s="6"/>
      <c r="L29" s="7" t="str">
        <f aca="false">IF(ABS(D29)&lt;0.5,"TIES","CHECK")</f>
        <v>TIES</v>
      </c>
    </row>
    <row r="30" customFormat="false" ht="15" hidden="false" customHeight="false" outlineLevel="0" collapsed="false">
      <c r="A30" s="7" t="s">
        <v>875</v>
      </c>
      <c r="B30" s="15" t="n">
        <f aca="false">SUM(D13:D16)</f>
        <v>6702</v>
      </c>
      <c r="C30" s="46" t="n">
        <f aca="false">Annual!D7</f>
        <v>6702</v>
      </c>
      <c r="D30" s="15" t="n">
        <f aca="false">B30-C30</f>
        <v>0</v>
      </c>
      <c r="E30" s="6"/>
      <c r="F30" s="6"/>
      <c r="G30" s="6"/>
      <c r="H30" s="6"/>
      <c r="I30" s="6"/>
      <c r="J30" s="6"/>
      <c r="K30" s="6"/>
      <c r="L30" s="7" t="str">
        <f aca="false">IF(ABS(D30)&lt;0.5,"TIES","CHECK")</f>
        <v>TIES</v>
      </c>
    </row>
    <row r="31" customFormat="false" ht="15" hidden="false" customHeight="false" outlineLevel="0" collapsed="false">
      <c r="A31" s="7" t="s">
        <v>876</v>
      </c>
      <c r="B31" s="15" t="n">
        <f aca="false">SUM(D17:D20)</f>
        <v>7441</v>
      </c>
      <c r="C31" s="46" t="n">
        <f aca="false">Annual!E7</f>
        <v>7441</v>
      </c>
      <c r="D31" s="15" t="n">
        <f aca="false">B31-C31</f>
        <v>0</v>
      </c>
      <c r="E31" s="6"/>
      <c r="F31" s="6"/>
      <c r="G31" s="6"/>
      <c r="H31" s="6"/>
      <c r="I31" s="6"/>
      <c r="J31" s="6"/>
      <c r="K31" s="6"/>
      <c r="L31" s="7" t="str">
        <f aca="false">IF(ABS(D31)&lt;0.5,"TIES","CHECK")</f>
        <v>TIES</v>
      </c>
    </row>
    <row r="32" customFormat="false" ht="15" hidden="false" customHeight="false" outlineLevel="0" collapsed="false">
      <c r="A32" s="7" t="s">
        <v>243</v>
      </c>
      <c r="B32" s="15" t="n">
        <f aca="false">SUM(D21:D24)</f>
        <v>7647</v>
      </c>
      <c r="C32" s="46" t="n">
        <f aca="false">Annual!F7</f>
        <v>7647</v>
      </c>
      <c r="D32" s="15" t="n">
        <f aca="false">B32-C32</f>
        <v>0</v>
      </c>
      <c r="E32" s="6"/>
      <c r="F32" s="6"/>
      <c r="G32" s="6"/>
      <c r="H32" s="6"/>
      <c r="I32" s="6"/>
      <c r="J32" s="6"/>
      <c r="K32" s="6"/>
      <c r="L32" s="7" t="str">
        <f aca="false">IF(ABS(D32)&lt;0.5,"TIES","CHECK")</f>
        <v>TIES</v>
      </c>
    </row>
    <row r="33" customFormat="false" ht="95.5" hidden="false" customHeight="false" outlineLevel="0" collapsed="false">
      <c r="A33" s="4" t="s">
        <v>1093</v>
      </c>
    </row>
    <row r="36" customFormat="false" ht="15" hidden="false" customHeight="false" outlineLevel="0" collapsed="false">
      <c r="A36" s="3" t="s">
        <v>1094</v>
      </c>
    </row>
    <row r="37" customFormat="false" ht="168.65" hidden="false" customHeight="false" outlineLevel="0" collapsed="false">
      <c r="A37" s="4" t="s">
        <v>1095</v>
      </c>
    </row>
    <row r="39" customFormat="false" ht="30" hidden="false" customHeight="true" outlineLevel="0" collapsed="false">
      <c r="A39" s="5" t="s">
        <v>1029</v>
      </c>
      <c r="B39" s="5" t="s">
        <v>877</v>
      </c>
      <c r="C39" s="5" t="s">
        <v>664</v>
      </c>
      <c r="D39" s="5" t="s">
        <v>552</v>
      </c>
      <c r="E39" s="5" t="s">
        <v>555</v>
      </c>
      <c r="F39" s="5" t="s">
        <v>602</v>
      </c>
      <c r="G39" s="5" t="s">
        <v>638</v>
      </c>
      <c r="H39" s="5" t="s">
        <v>561</v>
      </c>
      <c r="I39" s="5" t="s">
        <v>562</v>
      </c>
      <c r="J39" s="5" t="s">
        <v>1030</v>
      </c>
      <c r="K39" s="5" t="s">
        <v>1031</v>
      </c>
      <c r="L39" s="5" t="s">
        <v>162</v>
      </c>
    </row>
    <row r="40" customFormat="false" ht="15" hidden="false" customHeight="false" outlineLevel="0" collapsed="false">
      <c r="A40" s="7" t="s">
        <v>1096</v>
      </c>
      <c r="B40" s="12" t="s">
        <v>1038</v>
      </c>
      <c r="C40" s="12" t="s">
        <v>1038</v>
      </c>
      <c r="D40" s="31" t="n">
        <v>6803</v>
      </c>
      <c r="E40" s="31" t="n">
        <v>2127</v>
      </c>
      <c r="F40" s="26" t="n">
        <f aca="false">IF(D40=0,0,E40/D40)</f>
        <v>0.312656181096575</v>
      </c>
      <c r="G40" s="31" t="n">
        <v>814</v>
      </c>
      <c r="H40" s="31" t="n">
        <v>739</v>
      </c>
      <c r="I40" s="31" t="n">
        <v>560</v>
      </c>
      <c r="J40" s="42" t="n">
        <v>2.51</v>
      </c>
      <c r="K40" s="43"/>
      <c r="L40" s="49" t="s">
        <v>1035</v>
      </c>
    </row>
    <row r="41" customFormat="false" ht="15" hidden="false" customHeight="false" outlineLevel="0" collapsed="false">
      <c r="A41" s="7" t="s">
        <v>1097</v>
      </c>
      <c r="B41" s="12" t="s">
        <v>1098</v>
      </c>
      <c r="C41" s="12" t="s">
        <v>1098</v>
      </c>
      <c r="D41" s="31" t="n">
        <v>6508</v>
      </c>
      <c r="E41" s="31"/>
      <c r="F41" s="26" t="n">
        <f aca="false">IF(D41=0,0,E41/D41)</f>
        <v>0</v>
      </c>
      <c r="G41" s="31" t="n">
        <v>648</v>
      </c>
      <c r="H41" s="31" t="n">
        <v>555</v>
      </c>
      <c r="I41" s="31" t="n">
        <v>436</v>
      </c>
      <c r="J41" s="42" t="n">
        <v>1.93</v>
      </c>
      <c r="K41" s="43"/>
      <c r="L41" s="49" t="s">
        <v>1035</v>
      </c>
    </row>
    <row r="42" customFormat="false" ht="15" hidden="false" customHeight="false" outlineLevel="0" collapsed="false">
      <c r="A42" s="7" t="s">
        <v>1099</v>
      </c>
      <c r="B42" s="12" t="s">
        <v>1043</v>
      </c>
      <c r="C42" s="12" t="s">
        <v>1043</v>
      </c>
      <c r="D42" s="31" t="n">
        <v>7284</v>
      </c>
      <c r="E42" s="31" t="n">
        <v>2205</v>
      </c>
      <c r="F42" s="26" t="n">
        <f aca="false">IF(D42=0,0,E42/D42)</f>
        <v>0.302718286655684</v>
      </c>
      <c r="G42" s="31" t="n">
        <v>795</v>
      </c>
      <c r="H42" s="31" t="n">
        <v>712</v>
      </c>
      <c r="I42" s="31" t="n">
        <v>546</v>
      </c>
      <c r="J42" s="42" t="n">
        <v>2.5</v>
      </c>
      <c r="K42" s="43"/>
      <c r="L42" s="49" t="s">
        <v>1035</v>
      </c>
    </row>
    <row r="43" customFormat="false" ht="15" hidden="false" customHeight="false" outlineLevel="0" collapsed="false">
      <c r="A43" s="7" t="s">
        <v>1100</v>
      </c>
      <c r="B43" s="12" t="s">
        <v>1101</v>
      </c>
      <c r="C43" s="12" t="s">
        <v>1101</v>
      </c>
      <c r="D43" s="31" t="n">
        <v>7971</v>
      </c>
      <c r="E43" s="31" t="n">
        <v>2435</v>
      </c>
      <c r="F43" s="26" t="n">
        <f aca="false">IF(D43=0,0,E43/D43)</f>
        <v>0.305482373604316</v>
      </c>
      <c r="G43" s="31" t="n">
        <v>896</v>
      </c>
      <c r="H43" s="31" t="n">
        <v>814</v>
      </c>
      <c r="I43" s="31" t="n">
        <v>580</v>
      </c>
      <c r="J43" s="42" t="n">
        <v>2.72</v>
      </c>
      <c r="K43" s="43" t="n">
        <f aca="false">SUM(D40:D43)</f>
        <v>28566</v>
      </c>
      <c r="L43" s="49" t="s">
        <v>1035</v>
      </c>
    </row>
    <row r="44" customFormat="false" ht="15" hidden="false" customHeight="false" outlineLevel="0" collapsed="false">
      <c r="A44" s="7" t="s">
        <v>1102</v>
      </c>
      <c r="B44" s="12" t="s">
        <v>1103</v>
      </c>
      <c r="C44" s="12" t="s">
        <v>1103</v>
      </c>
      <c r="D44" s="31" t="n">
        <v>7931</v>
      </c>
      <c r="E44" s="31" t="n">
        <v>2421</v>
      </c>
      <c r="F44" s="26" t="n">
        <f aca="false">IF(D44=0,0,E44/D44)</f>
        <v>0.305257848947169</v>
      </c>
      <c r="G44" s="31" t="n">
        <v>831</v>
      </c>
      <c r="H44" s="31" t="n">
        <v>831</v>
      </c>
      <c r="I44" s="31" t="n">
        <v>595</v>
      </c>
      <c r="J44" s="42" t="n">
        <v>2.84</v>
      </c>
      <c r="K44" s="43" t="n">
        <f aca="false">SUM(D41:D44)</f>
        <v>29694</v>
      </c>
      <c r="L44" s="49" t="s">
        <v>1035</v>
      </c>
    </row>
    <row r="45" customFormat="false" ht="15" hidden="false" customHeight="false" outlineLevel="0" collapsed="false">
      <c r="A45" s="7" t="s">
        <v>1104</v>
      </c>
      <c r="B45" s="12" t="s">
        <v>1105</v>
      </c>
      <c r="C45" s="12" t="s">
        <v>1105</v>
      </c>
      <c r="D45" s="31" t="n">
        <v>6825</v>
      </c>
      <c r="E45" s="31" t="n">
        <v>2062</v>
      </c>
      <c r="F45" s="26" t="n">
        <f aca="false">IF(D45=0,0,E45/D45)</f>
        <v>0.302124542124542</v>
      </c>
      <c r="G45" s="31" t="n">
        <v>711</v>
      </c>
      <c r="H45" s="31" t="n">
        <v>549</v>
      </c>
      <c r="I45" s="31" t="n">
        <v>374</v>
      </c>
      <c r="J45" s="42" t="n">
        <v>1.8</v>
      </c>
      <c r="K45" s="43" t="n">
        <f aca="false">SUM(D42:D45)</f>
        <v>30011</v>
      </c>
      <c r="L45" s="49" t="s">
        <v>1035</v>
      </c>
    </row>
    <row r="46" customFormat="false" ht="15" hidden="false" customHeight="false" outlineLevel="0" collapsed="false">
      <c r="A46" s="7" t="s">
        <v>1106</v>
      </c>
      <c r="B46" s="12" t="s">
        <v>1053</v>
      </c>
      <c r="C46" s="12" t="s">
        <v>1053</v>
      </c>
      <c r="D46" s="31" t="n">
        <v>7140</v>
      </c>
      <c r="E46" s="31" t="n">
        <v>2140</v>
      </c>
      <c r="F46" s="26" t="n">
        <f aca="false">IF(D46=0,0,E46/D46)</f>
        <v>0.299719887955182</v>
      </c>
      <c r="G46" s="31" t="n">
        <v>740</v>
      </c>
      <c r="H46" s="31" t="n">
        <v>497</v>
      </c>
      <c r="I46" s="31" t="n">
        <v>336</v>
      </c>
      <c r="J46" s="42" t="n">
        <v>1.63</v>
      </c>
      <c r="K46" s="43" t="n">
        <f aca="false">SUM(D43:D46)</f>
        <v>29867</v>
      </c>
      <c r="L46" s="49" t="s">
        <v>1035</v>
      </c>
    </row>
    <row r="47" customFormat="false" ht="15" hidden="false" customHeight="false" outlineLevel="0" collapsed="false">
      <c r="A47" s="7" t="s">
        <v>1107</v>
      </c>
      <c r="B47" s="12" t="s">
        <v>1108</v>
      </c>
      <c r="C47" s="12" t="s">
        <v>1108</v>
      </c>
      <c r="D47" s="31" t="n">
        <v>7838</v>
      </c>
      <c r="E47" s="31" t="n">
        <v>2402</v>
      </c>
      <c r="F47" s="26" t="n">
        <f aca="false">IF(D47=0,0,E47/D47)</f>
        <v>0.306455728502169</v>
      </c>
      <c r="G47" s="31" t="n">
        <v>858</v>
      </c>
      <c r="H47" s="31" t="n">
        <v>782</v>
      </c>
      <c r="I47" s="31" t="n">
        <v>584</v>
      </c>
      <c r="J47" s="42" t="n">
        <v>2.85</v>
      </c>
      <c r="K47" s="43" t="n">
        <f aca="false">SUM(D44:D47)</f>
        <v>29734</v>
      </c>
      <c r="L47" s="49" t="s">
        <v>1035</v>
      </c>
    </row>
    <row r="48" customFormat="false" ht="15" hidden="false" customHeight="false" outlineLevel="0" collapsed="false">
      <c r="A48" s="7" t="s">
        <v>1109</v>
      </c>
      <c r="B48" s="12" t="s">
        <v>1059</v>
      </c>
      <c r="C48" s="12" t="s">
        <v>1059</v>
      </c>
      <c r="D48" s="31" t="n">
        <v>7708</v>
      </c>
      <c r="E48" s="31" t="n">
        <v>2331</v>
      </c>
      <c r="F48" s="26" t="n">
        <f aca="false">IF(D48=0,0,E48/D48)</f>
        <v>0.302413077322263</v>
      </c>
      <c r="G48" s="31" t="n">
        <v>739</v>
      </c>
      <c r="H48" s="31" t="n">
        <v>739</v>
      </c>
      <c r="I48" s="31" t="n">
        <v>519</v>
      </c>
      <c r="J48" s="42" t="n">
        <v>2.54</v>
      </c>
      <c r="K48" s="43" t="n">
        <f aca="false">SUM(D45:D48)</f>
        <v>29511</v>
      </c>
      <c r="L48" s="49" t="s">
        <v>1035</v>
      </c>
    </row>
    <row r="49" customFormat="false" ht="15" hidden="false" customHeight="false" outlineLevel="0" collapsed="false">
      <c r="A49" s="7" t="s">
        <v>1110</v>
      </c>
      <c r="B49" s="12" t="s">
        <v>1111</v>
      </c>
      <c r="C49" s="12" t="s">
        <v>1111</v>
      </c>
      <c r="D49" s="31" t="n">
        <v>6673</v>
      </c>
      <c r="E49" s="31" t="n">
        <v>2029</v>
      </c>
      <c r="F49" s="26" t="n">
        <f aca="false">IF(D49=0,0,E49/D49)</f>
        <v>0.304061141915181</v>
      </c>
      <c r="G49" s="31" t="n">
        <v>640</v>
      </c>
      <c r="H49" s="31" t="n">
        <v>477</v>
      </c>
      <c r="I49" s="31" t="n">
        <v>322</v>
      </c>
      <c r="J49" s="42" t="n">
        <v>1.58</v>
      </c>
      <c r="K49" s="43" t="n">
        <f aca="false">SUM(D46:D49)</f>
        <v>29359</v>
      </c>
      <c r="L49" s="49" t="s">
        <v>1035</v>
      </c>
    </row>
    <row r="50" customFormat="false" ht="15" hidden="false" customHeight="false" outlineLevel="0" collapsed="false">
      <c r="A50" s="7" t="s">
        <v>1112</v>
      </c>
      <c r="B50" s="12" t="s">
        <v>1064</v>
      </c>
      <c r="C50" s="12" t="s">
        <v>1064</v>
      </c>
      <c r="D50" s="31" t="n">
        <v>7308</v>
      </c>
      <c r="E50" s="31" t="n">
        <v>2232</v>
      </c>
      <c r="F50" s="26" t="n">
        <f aca="false">IF(D50=0,0,E50/D50)</f>
        <v>0.305418719211823</v>
      </c>
      <c r="G50" s="31" t="n">
        <v>625</v>
      </c>
      <c r="H50" s="31" t="n">
        <v>625</v>
      </c>
      <c r="I50" s="31" t="n">
        <v>443</v>
      </c>
      <c r="J50" s="42" t="n">
        <v>2.18</v>
      </c>
      <c r="K50" s="43" t="n">
        <f aca="false">SUM(D47:D50)</f>
        <v>29527</v>
      </c>
      <c r="L50" s="49" t="s">
        <v>1035</v>
      </c>
    </row>
    <row r="51" customFormat="false" ht="15" hidden="false" customHeight="false" outlineLevel="0" collapsed="false">
      <c r="A51" s="7" t="s">
        <v>1113</v>
      </c>
      <c r="B51" s="12" t="s">
        <v>1114</v>
      </c>
      <c r="C51" s="12" t="s">
        <v>1114</v>
      </c>
      <c r="D51" s="31" t="n">
        <v>7946</v>
      </c>
      <c r="E51" s="31" t="n">
        <v>2461</v>
      </c>
      <c r="F51" s="26" t="n">
        <f aca="false">IF(D51=0,0,E51/D51)</f>
        <v>0.309715580166121</v>
      </c>
      <c r="G51" s="31" t="n">
        <v>906</v>
      </c>
      <c r="H51" s="31" t="n">
        <v>811</v>
      </c>
      <c r="I51" s="31" t="n">
        <v>451</v>
      </c>
      <c r="J51" s="42" t="n">
        <v>2.23</v>
      </c>
      <c r="K51" s="43" t="n">
        <f aca="false">SUM(D48:D51)</f>
        <v>29635</v>
      </c>
      <c r="L51" s="49" t="s">
        <v>1035</v>
      </c>
    </row>
    <row r="52" customFormat="false" ht="15" hidden="false" customHeight="false" outlineLevel="0" collapsed="false">
      <c r="A52" s="7" t="s">
        <v>1115</v>
      </c>
      <c r="B52" s="12" t="s">
        <v>1116</v>
      </c>
      <c r="C52" s="12" t="s">
        <v>1116</v>
      </c>
      <c r="D52" s="31" t="n">
        <v>7772</v>
      </c>
      <c r="E52" s="31" t="n">
        <v>2340</v>
      </c>
      <c r="F52" s="26" t="n">
        <f aca="false">IF(D52=0,0,E52/D52)</f>
        <v>0.301080802882141</v>
      </c>
      <c r="G52" s="31" t="n">
        <v>755</v>
      </c>
      <c r="H52" s="31" t="n">
        <v>665</v>
      </c>
      <c r="I52" s="31" t="n">
        <v>470</v>
      </c>
      <c r="J52" s="42" t="n">
        <v>2.34</v>
      </c>
      <c r="K52" s="43" t="n">
        <f aca="false">SUM(D49:D52)</f>
        <v>29699</v>
      </c>
      <c r="L52" s="49" t="s">
        <v>1035</v>
      </c>
    </row>
    <row r="53" customFormat="false" ht="15" hidden="false" customHeight="false" outlineLevel="0" collapsed="false">
      <c r="A53" s="7" t="s">
        <v>1117</v>
      </c>
      <c r="B53" s="12" t="s">
        <v>1118</v>
      </c>
      <c r="C53" s="12" t="s">
        <v>1118</v>
      </c>
      <c r="D53" s="31" t="n">
        <v>6872</v>
      </c>
      <c r="E53" s="31" t="n">
        <v>2042</v>
      </c>
      <c r="F53" s="26" t="n">
        <f aca="false">IF(D53=0,0,E53/D53)</f>
        <v>0.297147846332945</v>
      </c>
      <c r="G53" s="31" t="n">
        <v>592</v>
      </c>
      <c r="H53" s="31" t="n">
        <v>410</v>
      </c>
      <c r="I53" s="31" t="n">
        <v>276</v>
      </c>
      <c r="J53" s="42" t="n">
        <v>1.38</v>
      </c>
      <c r="K53" s="43" t="n">
        <f aca="false">SUM(D50:D53)</f>
        <v>29898</v>
      </c>
      <c r="L53" s="49" t="s">
        <v>1035</v>
      </c>
    </row>
    <row r="54" customFormat="false" ht="15" hidden="false" customHeight="false" outlineLevel="0" collapsed="false">
      <c r="A54" s="7" t="s">
        <v>1119</v>
      </c>
      <c r="B54" s="12" t="s">
        <v>1120</v>
      </c>
      <c r="C54" s="12" t="s">
        <v>1120</v>
      </c>
      <c r="D54" s="31" t="n">
        <v>7621</v>
      </c>
      <c r="E54" s="31" t="n">
        <v>2359</v>
      </c>
      <c r="F54" s="26" t="n">
        <f aca="false">IF(D54=0,0,E54/D54)</f>
        <v>0.309539430520929</v>
      </c>
      <c r="G54" s="31" t="n">
        <v>882</v>
      </c>
      <c r="H54" s="31" t="n">
        <v>606</v>
      </c>
      <c r="I54" s="31" t="n">
        <v>410</v>
      </c>
      <c r="J54" s="42" t="n">
        <v>2.07</v>
      </c>
      <c r="K54" s="43" t="n">
        <f aca="false">SUM(D51:D54)</f>
        <v>30211</v>
      </c>
      <c r="L54" s="49" t="s">
        <v>1035</v>
      </c>
    </row>
    <row r="55" customFormat="false" ht="15" hidden="false" customHeight="false" outlineLevel="0" collapsed="false">
      <c r="A55" s="7" t="s">
        <v>1121</v>
      </c>
      <c r="B55" s="12" t="s">
        <v>1122</v>
      </c>
      <c r="C55" s="12" t="s">
        <v>1122</v>
      </c>
      <c r="D55" s="31" t="n">
        <v>8497</v>
      </c>
      <c r="E55" s="31" t="n">
        <v>2694</v>
      </c>
      <c r="F55" s="26" t="n">
        <f aca="false">IF(D55=0,0,E55/D55)</f>
        <v>0.317053077556785</v>
      </c>
      <c r="G55" s="31" t="n">
        <v>1029</v>
      </c>
      <c r="H55" s="31" t="n">
        <v>925</v>
      </c>
      <c r="I55" s="31" t="n">
        <v>700</v>
      </c>
      <c r="J55" s="42" t="n">
        <v>3.55</v>
      </c>
      <c r="K55" s="43" t="n">
        <f aca="false">SUM(D52:D55)</f>
        <v>30762</v>
      </c>
      <c r="L55" s="49" t="s">
        <v>1035</v>
      </c>
    </row>
    <row r="56" customFormat="false" ht="15" hidden="false" customHeight="false" outlineLevel="0" collapsed="false">
      <c r="A56" s="7" t="s">
        <v>1123</v>
      </c>
      <c r="B56" s="12" t="s">
        <v>1081</v>
      </c>
      <c r="C56" s="12" t="s">
        <v>1081</v>
      </c>
      <c r="D56" s="31" t="n">
        <v>8169</v>
      </c>
      <c r="E56" s="31" t="n">
        <v>2506</v>
      </c>
      <c r="F56" s="26" t="n">
        <f aca="false">IF(D56=0,0,E56/D56)</f>
        <v>0.306769494430163</v>
      </c>
      <c r="G56" s="31" t="n">
        <v>867</v>
      </c>
      <c r="H56" s="31" t="n">
        <v>771</v>
      </c>
      <c r="I56" s="31" t="n">
        <v>570</v>
      </c>
      <c r="J56" s="42" t="n">
        <v>2.9</v>
      </c>
      <c r="K56" s="43" t="n">
        <f aca="false">SUM(D53:D56)</f>
        <v>31159</v>
      </c>
      <c r="L56" s="49" t="s">
        <v>1035</v>
      </c>
    </row>
    <row r="57" customFormat="false" ht="15" hidden="false" customHeight="false" outlineLevel="0" collapsed="false">
      <c r="A57" s="7" t="s">
        <v>1123</v>
      </c>
      <c r="B57" s="12" t="s">
        <v>1124</v>
      </c>
      <c r="C57" s="12" t="s">
        <v>1124</v>
      </c>
      <c r="D57" s="31" t="n">
        <v>0</v>
      </c>
      <c r="E57" s="31" t="n">
        <v>0</v>
      </c>
      <c r="F57" s="26" t="n">
        <f aca="false">IF(D57=0,0,E57/D57)</f>
        <v>0</v>
      </c>
      <c r="G57" s="31" t="n">
        <v>0</v>
      </c>
      <c r="H57" s="31" t="n">
        <v>0</v>
      </c>
      <c r="I57" s="31" t="n">
        <v>389</v>
      </c>
      <c r="J57" s="42" t="n">
        <v>1.99</v>
      </c>
      <c r="K57" s="43" t="n">
        <f aca="false">SUM(D54:D57)</f>
        <v>24287</v>
      </c>
      <c r="L57" s="49" t="s">
        <v>1035</v>
      </c>
    </row>
    <row r="58" customFormat="false" ht="15" hidden="false" customHeight="false" outlineLevel="0" collapsed="false">
      <c r="A58" s="7" t="s">
        <v>1125</v>
      </c>
      <c r="B58" s="12" t="s">
        <v>1126</v>
      </c>
      <c r="C58" s="12" t="s">
        <v>1126</v>
      </c>
      <c r="D58" s="31" t="n">
        <v>7472</v>
      </c>
      <c r="E58" s="31" t="n">
        <v>2318</v>
      </c>
      <c r="F58" s="26" t="n">
        <f aca="false">IF(D58=0,0,E58/D58)</f>
        <v>0.310224839400428</v>
      </c>
      <c r="G58" s="31" t="n">
        <v>709</v>
      </c>
      <c r="H58" s="31" t="n">
        <v>612</v>
      </c>
      <c r="I58" s="31" t="n">
        <v>414</v>
      </c>
      <c r="J58" s="42" t="n">
        <v>2.13</v>
      </c>
      <c r="K58" s="43" t="n">
        <f aca="false">SUM(D55:D58)</f>
        <v>24138</v>
      </c>
      <c r="L58" s="49" t="s">
        <v>1035</v>
      </c>
    </row>
    <row r="59" customFormat="false" ht="15" hidden="false" customHeight="false" outlineLevel="0" collapsed="false">
      <c r="A59" s="7" t="s">
        <v>1127</v>
      </c>
      <c r="B59" s="12" t="s">
        <v>1128</v>
      </c>
      <c r="C59" s="12" t="s">
        <v>1128</v>
      </c>
      <c r="D59" s="31" t="n">
        <v>8751</v>
      </c>
      <c r="E59" s="31" t="n">
        <v>2712</v>
      </c>
      <c r="F59" s="26" t="n">
        <f aca="false">IF(D59=0,0,E59/D59)</f>
        <v>0.309907439149811</v>
      </c>
      <c r="G59" s="31" t="n">
        <v>992</v>
      </c>
      <c r="H59" s="31" t="n">
        <v>893</v>
      </c>
      <c r="I59" s="31" t="n">
        <v>666</v>
      </c>
      <c r="J59" s="42" t="n">
        <v>3.43</v>
      </c>
      <c r="K59" s="43" t="n">
        <f aca="false">SUM(D56:D59)</f>
        <v>24392</v>
      </c>
      <c r="L59" s="49" t="s">
        <v>1035</v>
      </c>
    </row>
    <row r="61" customFormat="false" ht="15" hidden="false" customHeight="false" outlineLevel="0" collapsed="false">
      <c r="A61" s="3" t="s">
        <v>1087</v>
      </c>
    </row>
    <row r="62" customFormat="false" ht="30" hidden="false" customHeight="true" outlineLevel="0" collapsed="false">
      <c r="A62" s="5" t="s">
        <v>1088</v>
      </c>
      <c r="B62" s="5" t="s">
        <v>1089</v>
      </c>
      <c r="C62" s="5" t="s">
        <v>1090</v>
      </c>
      <c r="D62" s="5" t="s">
        <v>1091</v>
      </c>
      <c r="E62" s="5"/>
      <c r="F62" s="5"/>
      <c r="G62" s="5"/>
      <c r="H62" s="5"/>
      <c r="I62" s="5"/>
      <c r="J62" s="5"/>
      <c r="K62" s="5"/>
      <c r="L62" s="5" t="s">
        <v>1092</v>
      </c>
    </row>
    <row r="63" customFormat="false" ht="15" hidden="false" customHeight="false" outlineLevel="0" collapsed="false">
      <c r="A63" s="7" t="s">
        <v>874</v>
      </c>
      <c r="B63" s="27" t="n">
        <f aca="false">SUM(D40:D43)</f>
        <v>28566</v>
      </c>
      <c r="C63" s="46" t="n">
        <f aca="false">Annual!F27</f>
        <v>28566</v>
      </c>
      <c r="D63" s="27" t="n">
        <f aca="false">B63-C63</f>
        <v>0</v>
      </c>
      <c r="E63" s="6"/>
      <c r="F63" s="6"/>
      <c r="G63" s="6"/>
      <c r="H63" s="6"/>
      <c r="I63" s="6"/>
      <c r="J63" s="6"/>
      <c r="K63" s="6"/>
      <c r="L63" s="7" t="str">
        <f aca="false">IF(ABS(D63)&lt;1,"TIES","CHECK")</f>
        <v>TIES</v>
      </c>
    </row>
    <row r="64" customFormat="false" ht="15" hidden="false" customHeight="false" outlineLevel="0" collapsed="false">
      <c r="A64" s="7" t="s">
        <v>875</v>
      </c>
      <c r="B64" s="27" t="n">
        <f aca="false">SUM(D44:D47)</f>
        <v>29734</v>
      </c>
      <c r="C64" s="46" t="n">
        <f aca="false">Annual!G27</f>
        <v>29734</v>
      </c>
      <c r="D64" s="27" t="n">
        <f aca="false">B64-C64</f>
        <v>0</v>
      </c>
      <c r="E64" s="6"/>
      <c r="F64" s="6"/>
      <c r="G64" s="6"/>
      <c r="H64" s="6"/>
      <c r="I64" s="6"/>
      <c r="J64" s="6"/>
      <c r="K64" s="6"/>
      <c r="L64" s="7" t="str">
        <f aca="false">IF(ABS(D64)&lt;1,"TIES","CHECK")</f>
        <v>TIES</v>
      </c>
    </row>
    <row r="65" customFormat="false" ht="15" hidden="false" customHeight="false" outlineLevel="0" collapsed="false">
      <c r="A65" s="7" t="s">
        <v>876</v>
      </c>
      <c r="B65" s="27" t="n">
        <f aca="false">SUM(D48:D51)</f>
        <v>29635</v>
      </c>
      <c r="C65" s="46" t="n">
        <f aca="false">Annual!H27</f>
        <v>29635</v>
      </c>
      <c r="D65" s="27" t="n">
        <f aca="false">B65-C65</f>
        <v>0</v>
      </c>
      <c r="E65" s="6"/>
      <c r="F65" s="6"/>
      <c r="G65" s="6"/>
      <c r="H65" s="6"/>
      <c r="I65" s="6"/>
      <c r="J65" s="6"/>
      <c r="K65" s="6"/>
      <c r="L65" s="7" t="str">
        <f aca="false">IF(ABS(D65)&lt;1,"TIES","CHECK")</f>
        <v>TIES</v>
      </c>
    </row>
    <row r="66" customFormat="false" ht="15" hidden="false" customHeight="false" outlineLevel="0" collapsed="false">
      <c r="A66" s="7" t="s">
        <v>243</v>
      </c>
      <c r="B66" s="27" t="n">
        <f aca="false">SUM(D52:D55)</f>
        <v>30762</v>
      </c>
      <c r="C66" s="46" t="n">
        <f aca="false">Annual!I27</f>
        <v>30762</v>
      </c>
      <c r="D66" s="27" t="n">
        <f aca="false">B66-C66</f>
        <v>0</v>
      </c>
      <c r="E66" s="6"/>
      <c r="F66" s="6"/>
      <c r="G66" s="6"/>
      <c r="H66" s="6"/>
      <c r="I66" s="6"/>
      <c r="J66" s="6"/>
      <c r="K66" s="6"/>
      <c r="L66" s="7" t="str">
        <f aca="false">IF(ABS(D66)&lt;1,"TIES","CHECK")</f>
        <v>TIES</v>
      </c>
    </row>
    <row r="67" customFormat="false" ht="116.4" hidden="false" customHeight="false" outlineLevel="0" collapsed="false">
      <c r="A67" s="4" t="s">
        <v>1129</v>
      </c>
    </row>
    <row r="70" customFormat="false" ht="15" hidden="false" customHeight="false" outlineLevel="0" collapsed="false">
      <c r="A70" s="3" t="s">
        <v>1130</v>
      </c>
    </row>
    <row r="71" customFormat="false" ht="116.4" hidden="false" customHeight="false" outlineLevel="0" collapsed="false">
      <c r="A71" s="4" t="s">
        <v>1131</v>
      </c>
    </row>
  </sheetData>
  <autoFilter ref="A5:L25"/>
  <hyperlinks>
    <hyperlink ref="L6" r:id="rId1" display="report"/>
    <hyperlink ref="L7" r:id="rId2" display="report"/>
    <hyperlink ref="L8" r:id="rId3" display="report"/>
    <hyperlink ref="L9" r:id="rId4" display="report"/>
    <hyperlink ref="L10" r:id="rId5" display="report"/>
    <hyperlink ref="L11" r:id="rId6" display="report"/>
    <hyperlink ref="L12" r:id="rId7" display="report"/>
    <hyperlink ref="L13" r:id="rId8" display="report"/>
    <hyperlink ref="L14" r:id="rId9" display="report"/>
    <hyperlink ref="L15" r:id="rId10" display="report"/>
    <hyperlink ref="L16" r:id="rId11" display="report"/>
    <hyperlink ref="L17" r:id="rId12" display="report"/>
    <hyperlink ref="L18" r:id="rId13" display="report"/>
    <hyperlink ref="L19" r:id="rId14" display="report"/>
    <hyperlink ref="L20" r:id="rId15" display="report"/>
    <hyperlink ref="L21" r:id="rId16" display="report"/>
    <hyperlink ref="L22" r:id="rId17" display="report"/>
    <hyperlink ref="L23" r:id="rId18" display="report"/>
    <hyperlink ref="L24" r:id="rId19" display="report"/>
    <hyperlink ref="L25" r:id="rId20" display="report"/>
    <hyperlink ref="L40" r:id="rId21" display="report"/>
    <hyperlink ref="L41" r:id="rId22" display="report"/>
    <hyperlink ref="L42" r:id="rId23" display="report"/>
    <hyperlink ref="L43" r:id="rId24" display="report"/>
    <hyperlink ref="L44" r:id="rId25" display="report"/>
    <hyperlink ref="L45" r:id="rId26" display="report"/>
    <hyperlink ref="L46" r:id="rId27" display="report"/>
    <hyperlink ref="L47" r:id="rId28" display="report"/>
    <hyperlink ref="L48" r:id="rId29" display="report"/>
    <hyperlink ref="L49" r:id="rId30" display="report"/>
    <hyperlink ref="L50" r:id="rId31" display="report"/>
    <hyperlink ref="L51" r:id="rId32" display="report"/>
    <hyperlink ref="L52" r:id="rId33" display="report"/>
    <hyperlink ref="L53" r:id="rId34" display="report"/>
    <hyperlink ref="L54" r:id="rId35" display="report"/>
    <hyperlink ref="L55" r:id="rId36" display="report"/>
    <hyperlink ref="L56" r:id="rId37" display="report"/>
    <hyperlink ref="L57" r:id="rId38" display="report"/>
    <hyperlink ref="L58" r:id="rId39" display="report"/>
    <hyperlink ref="L59" r:id="rId40" display="repor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FA5"/>
    <pageSetUpPr fitToPage="false"/>
  </sheetPr>
  <dimension ref="A1:H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52"/>
    <col collapsed="false" customWidth="true" hidden="false" outlineLevel="0" max="3" min="3" style="0" width="11"/>
    <col collapsed="false" customWidth="true" hidden="false" outlineLevel="0" max="4" min="4" style="0" width="13"/>
    <col collapsed="false" customWidth="true" hidden="false" outlineLevel="0" max="5" min="5" style="0" width="9"/>
    <col collapsed="false" customWidth="true" hidden="false" outlineLevel="0" max="7" min="6" style="0" width="11"/>
    <col collapsed="false" customWidth="true" hidden="false" outlineLevel="0" max="8" min="8" style="0" width="62"/>
  </cols>
  <sheetData>
    <row r="1" customFormat="false" ht="21.75" hidden="false" customHeight="true" outlineLevel="0" collapsed="false">
      <c r="A1" s="1" t="s">
        <v>1132</v>
      </c>
    </row>
    <row r="2" customFormat="false" ht="15" hidden="false" customHeight="false" outlineLevel="0" collapsed="false">
      <c r="A2" s="2" t="s">
        <v>1133</v>
      </c>
    </row>
    <row r="4" customFormat="false" ht="95.5" hidden="false" customHeight="false" outlineLevel="0" collapsed="false">
      <c r="A4" s="4" t="s">
        <v>1134</v>
      </c>
    </row>
    <row r="6" customFormat="false" ht="15" hidden="false" customHeight="false" outlineLevel="0" collapsed="false">
      <c r="A6" s="3" t="s">
        <v>1135</v>
      </c>
    </row>
    <row r="7" customFormat="false" ht="30" hidden="false" customHeight="true" outlineLevel="0" collapsed="false">
      <c r="A7" s="5" t="s">
        <v>1136</v>
      </c>
      <c r="B7" s="5" t="s">
        <v>1137</v>
      </c>
      <c r="C7" s="5" t="s">
        <v>1138</v>
      </c>
      <c r="D7" s="5" t="s">
        <v>1139</v>
      </c>
      <c r="E7" s="5" t="s">
        <v>1140</v>
      </c>
      <c r="F7" s="5" t="s">
        <v>1141</v>
      </c>
      <c r="G7" s="5" t="s">
        <v>1142</v>
      </c>
      <c r="H7" s="5" t="s">
        <v>1143</v>
      </c>
    </row>
    <row r="8" customFormat="false" ht="15" hidden="false" customHeight="false" outlineLevel="0" collapsed="false">
      <c r="A8" s="12" t="s">
        <v>1144</v>
      </c>
      <c r="B8" s="6" t="s">
        <v>1145</v>
      </c>
      <c r="C8" s="7" t="s">
        <v>1146</v>
      </c>
      <c r="D8" s="12" t="s">
        <v>1147</v>
      </c>
      <c r="E8" s="12" t="s">
        <v>1148</v>
      </c>
      <c r="F8" s="12" t="s">
        <v>1149</v>
      </c>
      <c r="G8" s="50" t="s">
        <v>1150</v>
      </c>
      <c r="H8" s="12" t="s">
        <v>1151</v>
      </c>
    </row>
    <row r="9" customFormat="false" ht="15" hidden="false" customHeight="false" outlineLevel="0" collapsed="false">
      <c r="A9" s="12" t="s">
        <v>1144</v>
      </c>
      <c r="B9" s="6" t="s">
        <v>1145</v>
      </c>
      <c r="C9" s="7" t="s">
        <v>1152</v>
      </c>
      <c r="D9" s="12" t="s">
        <v>1147</v>
      </c>
      <c r="E9" s="12" t="s">
        <v>1153</v>
      </c>
      <c r="F9" s="12" t="s">
        <v>1149</v>
      </c>
      <c r="G9" s="50" t="s">
        <v>1150</v>
      </c>
      <c r="H9" s="12" t="s">
        <v>1154</v>
      </c>
    </row>
    <row r="10" customFormat="false" ht="15" hidden="false" customHeight="false" outlineLevel="0" collapsed="false">
      <c r="A10" s="12" t="s">
        <v>1144</v>
      </c>
      <c r="B10" s="6" t="s">
        <v>1155</v>
      </c>
      <c r="C10" s="7" t="s">
        <v>1156</v>
      </c>
      <c r="D10" s="12" t="s">
        <v>1147</v>
      </c>
      <c r="E10" s="12" t="s">
        <v>1148</v>
      </c>
      <c r="F10" s="12" t="s">
        <v>1149</v>
      </c>
      <c r="G10" s="50" t="s">
        <v>1150</v>
      </c>
      <c r="H10" s="12" t="s">
        <v>1157</v>
      </c>
    </row>
    <row r="11" customFormat="false" ht="15" hidden="false" customHeight="false" outlineLevel="0" collapsed="false">
      <c r="A11" s="12" t="s">
        <v>1144</v>
      </c>
      <c r="B11" s="6" t="s">
        <v>1155</v>
      </c>
      <c r="C11" s="7" t="s">
        <v>1158</v>
      </c>
      <c r="D11" s="12" t="s">
        <v>1147</v>
      </c>
      <c r="E11" s="12" t="s">
        <v>1153</v>
      </c>
      <c r="F11" s="12" t="s">
        <v>1149</v>
      </c>
      <c r="G11" s="50" t="s">
        <v>1150</v>
      </c>
      <c r="H11" s="12" t="s">
        <v>1159</v>
      </c>
    </row>
    <row r="12" customFormat="false" ht="15" hidden="false" customHeight="false" outlineLevel="0" collapsed="false">
      <c r="A12" s="12" t="s">
        <v>1144</v>
      </c>
      <c r="B12" s="6" t="s">
        <v>1160</v>
      </c>
      <c r="C12" s="7" t="s">
        <v>1161</v>
      </c>
      <c r="D12" s="12" t="s">
        <v>1147</v>
      </c>
      <c r="E12" s="12" t="s">
        <v>1148</v>
      </c>
      <c r="F12" s="12" t="s">
        <v>1149</v>
      </c>
      <c r="G12" s="50" t="s">
        <v>1150</v>
      </c>
      <c r="H12" s="12" t="s">
        <v>1162</v>
      </c>
    </row>
    <row r="13" customFormat="false" ht="15" hidden="false" customHeight="false" outlineLevel="0" collapsed="false">
      <c r="A13" s="12" t="s">
        <v>1144</v>
      </c>
      <c r="B13" s="6" t="s">
        <v>1160</v>
      </c>
      <c r="C13" s="7" t="s">
        <v>1163</v>
      </c>
      <c r="D13" s="12" t="s">
        <v>1147</v>
      </c>
      <c r="E13" s="12" t="s">
        <v>1153</v>
      </c>
      <c r="F13" s="12" t="s">
        <v>1149</v>
      </c>
      <c r="G13" s="50" t="s">
        <v>1150</v>
      </c>
      <c r="H13" s="12" t="s">
        <v>1164</v>
      </c>
    </row>
    <row r="14" customFormat="false" ht="15" hidden="false" customHeight="false" outlineLevel="0" collapsed="false">
      <c r="A14" s="12" t="s">
        <v>1144</v>
      </c>
      <c r="B14" s="6" t="s">
        <v>1165</v>
      </c>
      <c r="C14" s="7" t="s">
        <v>1166</v>
      </c>
      <c r="D14" s="12" t="s">
        <v>1147</v>
      </c>
      <c r="E14" s="12" t="s">
        <v>1148</v>
      </c>
      <c r="F14" s="12" t="s">
        <v>1149</v>
      </c>
      <c r="G14" s="50" t="s">
        <v>1150</v>
      </c>
      <c r="H14" s="12" t="s">
        <v>1167</v>
      </c>
    </row>
    <row r="15" customFormat="false" ht="15" hidden="false" customHeight="false" outlineLevel="0" collapsed="false">
      <c r="A15" s="12" t="s">
        <v>1144</v>
      </c>
      <c r="B15" s="6" t="s">
        <v>1165</v>
      </c>
      <c r="C15" s="7" t="s">
        <v>1168</v>
      </c>
      <c r="D15" s="12" t="s">
        <v>1147</v>
      </c>
      <c r="E15" s="12" t="s">
        <v>1153</v>
      </c>
      <c r="F15" s="12" t="s">
        <v>1149</v>
      </c>
      <c r="G15" s="50" t="s">
        <v>1150</v>
      </c>
      <c r="H15" s="12" t="s">
        <v>1159</v>
      </c>
    </row>
    <row r="16" customFormat="false" ht="15" hidden="false" customHeight="false" outlineLevel="0" collapsed="false">
      <c r="A16" s="12" t="s">
        <v>1144</v>
      </c>
      <c r="B16" s="6" t="s">
        <v>1155</v>
      </c>
      <c r="C16" s="7" t="s">
        <v>1169</v>
      </c>
      <c r="D16" s="12" t="s">
        <v>1147</v>
      </c>
      <c r="E16" s="12" t="s">
        <v>1153</v>
      </c>
      <c r="F16" s="12" t="s">
        <v>1149</v>
      </c>
      <c r="G16" s="50" t="s">
        <v>1150</v>
      </c>
      <c r="H16" s="12" t="s">
        <v>1170</v>
      </c>
    </row>
    <row r="17" customFormat="false" ht="15" hidden="false" customHeight="false" outlineLevel="0" collapsed="false">
      <c r="A17" s="12" t="s">
        <v>1144</v>
      </c>
      <c r="B17" s="6" t="s">
        <v>1165</v>
      </c>
      <c r="C17" s="7" t="s">
        <v>1171</v>
      </c>
      <c r="D17" s="12" t="s">
        <v>1147</v>
      </c>
      <c r="E17" s="12" t="s">
        <v>1153</v>
      </c>
      <c r="F17" s="12" t="s">
        <v>1149</v>
      </c>
      <c r="G17" s="50" t="s">
        <v>1150</v>
      </c>
      <c r="H17" s="12" t="s">
        <v>1172</v>
      </c>
    </row>
    <row r="18" customFormat="false" ht="23.85" hidden="false" customHeight="false" outlineLevel="0" collapsed="false">
      <c r="A18" s="12" t="s">
        <v>1173</v>
      </c>
      <c r="B18" s="6" t="s">
        <v>1174</v>
      </c>
      <c r="C18" s="7" t="s">
        <v>1175</v>
      </c>
      <c r="D18" s="12" t="s">
        <v>1147</v>
      </c>
      <c r="E18" s="12" t="s">
        <v>1176</v>
      </c>
      <c r="F18" s="12" t="s">
        <v>1177</v>
      </c>
      <c r="G18" s="50" t="s">
        <v>1150</v>
      </c>
      <c r="H18" s="12" t="s">
        <v>1178</v>
      </c>
    </row>
    <row r="19" customFormat="false" ht="23.85" hidden="false" customHeight="false" outlineLevel="0" collapsed="false">
      <c r="A19" s="12" t="s">
        <v>1173</v>
      </c>
      <c r="B19" s="6" t="s">
        <v>1174</v>
      </c>
      <c r="C19" s="7" t="s">
        <v>1179</v>
      </c>
      <c r="D19" s="12" t="s">
        <v>1147</v>
      </c>
      <c r="E19" s="12" t="s">
        <v>1180</v>
      </c>
      <c r="F19" s="12" t="s">
        <v>1177</v>
      </c>
      <c r="G19" s="50" t="s">
        <v>1150</v>
      </c>
      <c r="H19" s="12" t="s">
        <v>1181</v>
      </c>
    </row>
    <row r="20" customFormat="false" ht="23.85" hidden="false" customHeight="false" outlineLevel="0" collapsed="false">
      <c r="A20" s="12" t="s">
        <v>1173</v>
      </c>
      <c r="B20" s="6" t="s">
        <v>1182</v>
      </c>
      <c r="C20" s="7" t="s">
        <v>1183</v>
      </c>
      <c r="D20" s="12" t="s">
        <v>1147</v>
      </c>
      <c r="E20" s="12" t="s">
        <v>1176</v>
      </c>
      <c r="F20" s="12" t="s">
        <v>1177</v>
      </c>
      <c r="G20" s="50" t="s">
        <v>1150</v>
      </c>
      <c r="H20" s="12" t="s">
        <v>1184</v>
      </c>
    </row>
    <row r="21" customFormat="false" ht="23.85" hidden="false" customHeight="false" outlineLevel="0" collapsed="false">
      <c r="A21" s="12" t="s">
        <v>1173</v>
      </c>
      <c r="B21" s="6" t="s">
        <v>1185</v>
      </c>
      <c r="C21" s="7" t="s">
        <v>1186</v>
      </c>
      <c r="D21" s="12" t="s">
        <v>1147</v>
      </c>
      <c r="E21" s="12" t="s">
        <v>1176</v>
      </c>
      <c r="F21" s="12" t="s">
        <v>1177</v>
      </c>
      <c r="G21" s="50" t="s">
        <v>1150</v>
      </c>
      <c r="H21" s="12" t="s">
        <v>1187</v>
      </c>
    </row>
    <row r="22" customFormat="false" ht="15" hidden="false" customHeight="false" outlineLevel="0" collapsed="false">
      <c r="A22" s="12" t="s">
        <v>1173</v>
      </c>
      <c r="B22" s="6" t="s">
        <v>1188</v>
      </c>
      <c r="C22" s="7" t="s">
        <v>1189</v>
      </c>
      <c r="D22" s="12" t="s">
        <v>1147</v>
      </c>
      <c r="E22" s="12" t="s">
        <v>1176</v>
      </c>
      <c r="F22" s="12" t="s">
        <v>1190</v>
      </c>
      <c r="G22" s="50" t="s">
        <v>1150</v>
      </c>
      <c r="H22" s="12" t="s">
        <v>1191</v>
      </c>
    </row>
    <row r="23" customFormat="false" ht="15" hidden="false" customHeight="false" outlineLevel="0" collapsed="false">
      <c r="A23" s="12" t="s">
        <v>1192</v>
      </c>
      <c r="B23" s="6" t="s">
        <v>1193</v>
      </c>
      <c r="C23" s="7" t="s">
        <v>1194</v>
      </c>
      <c r="D23" s="12" t="s">
        <v>1147</v>
      </c>
      <c r="E23" s="12" t="s">
        <v>1195</v>
      </c>
      <c r="F23" s="12" t="s">
        <v>1196</v>
      </c>
      <c r="G23" s="50" t="s">
        <v>1150</v>
      </c>
      <c r="H23" s="12" t="s">
        <v>1197</v>
      </c>
    </row>
    <row r="24" customFormat="false" ht="23.85" hidden="false" customHeight="false" outlineLevel="0" collapsed="false">
      <c r="A24" s="12" t="s">
        <v>1192</v>
      </c>
      <c r="B24" s="6" t="s">
        <v>1198</v>
      </c>
      <c r="C24" s="7" t="s">
        <v>1199</v>
      </c>
      <c r="D24" s="12" t="s">
        <v>1147</v>
      </c>
      <c r="E24" s="12" t="s">
        <v>1195</v>
      </c>
      <c r="F24" s="12" t="s">
        <v>1196</v>
      </c>
      <c r="G24" s="50" t="s">
        <v>1150</v>
      </c>
      <c r="H24" s="12" t="s">
        <v>1200</v>
      </c>
    </row>
    <row r="25" customFormat="false" ht="15" hidden="false" customHeight="false" outlineLevel="0" collapsed="false">
      <c r="A25" s="12" t="s">
        <v>1192</v>
      </c>
      <c r="B25" s="6" t="s">
        <v>1201</v>
      </c>
      <c r="C25" s="7" t="s">
        <v>1202</v>
      </c>
      <c r="D25" s="12" t="s">
        <v>1147</v>
      </c>
      <c r="E25" s="12" t="s">
        <v>1195</v>
      </c>
      <c r="F25" s="12" t="s">
        <v>1196</v>
      </c>
      <c r="G25" s="50" t="s">
        <v>1150</v>
      </c>
      <c r="H25" s="12" t="s">
        <v>1203</v>
      </c>
    </row>
    <row r="26" customFormat="false" ht="23.85" hidden="false" customHeight="false" outlineLevel="0" collapsed="false">
      <c r="A26" s="12" t="s">
        <v>1192</v>
      </c>
      <c r="B26" s="6" t="s">
        <v>1204</v>
      </c>
      <c r="C26" s="7" t="s">
        <v>1205</v>
      </c>
      <c r="D26" s="12" t="s">
        <v>1147</v>
      </c>
      <c r="E26" s="12" t="s">
        <v>1195</v>
      </c>
      <c r="F26" s="12" t="s">
        <v>1196</v>
      </c>
      <c r="G26" s="50" t="s">
        <v>1150</v>
      </c>
      <c r="H26" s="12" t="s">
        <v>1206</v>
      </c>
    </row>
    <row r="27" customFormat="false" ht="15" hidden="false" customHeight="false" outlineLevel="0" collapsed="false">
      <c r="A27" s="12" t="s">
        <v>1192</v>
      </c>
      <c r="B27" s="6" t="s">
        <v>1207</v>
      </c>
      <c r="C27" s="7" t="s">
        <v>1208</v>
      </c>
      <c r="D27" s="12" t="s">
        <v>1147</v>
      </c>
      <c r="E27" s="12" t="s">
        <v>1195</v>
      </c>
      <c r="F27" s="12" t="s">
        <v>1196</v>
      </c>
      <c r="G27" s="50" t="s">
        <v>1150</v>
      </c>
      <c r="H27" s="12" t="s">
        <v>1209</v>
      </c>
    </row>
    <row r="28" customFormat="false" ht="15" hidden="false" customHeight="false" outlineLevel="0" collapsed="false">
      <c r="A28" s="12" t="s">
        <v>1192</v>
      </c>
      <c r="B28" s="6" t="s">
        <v>1210</v>
      </c>
      <c r="C28" s="7" t="s">
        <v>1211</v>
      </c>
      <c r="D28" s="12" t="s">
        <v>1147</v>
      </c>
      <c r="E28" s="12" t="s">
        <v>1195</v>
      </c>
      <c r="F28" s="12" t="s">
        <v>1196</v>
      </c>
      <c r="G28" s="50" t="s">
        <v>1150</v>
      </c>
      <c r="H28" s="12" t="s">
        <v>1212</v>
      </c>
    </row>
    <row r="29" customFormat="false" ht="15" hidden="false" customHeight="false" outlineLevel="0" collapsed="false">
      <c r="A29" s="12" t="s">
        <v>1192</v>
      </c>
      <c r="B29" s="6" t="s">
        <v>1213</v>
      </c>
      <c r="C29" s="7" t="s">
        <v>1214</v>
      </c>
      <c r="D29" s="12" t="s">
        <v>1147</v>
      </c>
      <c r="E29" s="12" t="s">
        <v>1195</v>
      </c>
      <c r="F29" s="12" t="s">
        <v>1196</v>
      </c>
      <c r="G29" s="50" t="s">
        <v>1150</v>
      </c>
      <c r="H29" s="12" t="s">
        <v>1215</v>
      </c>
    </row>
    <row r="30" customFormat="false" ht="15" hidden="false" customHeight="false" outlineLevel="0" collapsed="false">
      <c r="A30" s="12" t="s">
        <v>1192</v>
      </c>
      <c r="B30" s="6" t="s">
        <v>1216</v>
      </c>
      <c r="C30" s="7" t="s">
        <v>1217</v>
      </c>
      <c r="D30" s="12" t="s">
        <v>1147</v>
      </c>
      <c r="E30" s="12" t="s">
        <v>1195</v>
      </c>
      <c r="F30" s="12" t="s">
        <v>1196</v>
      </c>
      <c r="G30" s="50" t="s">
        <v>1150</v>
      </c>
      <c r="H30" s="12" t="s">
        <v>1218</v>
      </c>
    </row>
    <row r="32" customFormat="false" ht="32.8" hidden="false" customHeight="false" outlineLevel="0" collapsed="false">
      <c r="A32" s="4" t="s">
        <v>1219</v>
      </c>
    </row>
    <row r="35" customFormat="false" ht="15" hidden="false" customHeight="false" outlineLevel="0" collapsed="false">
      <c r="A35" s="3" t="s">
        <v>1220</v>
      </c>
    </row>
    <row r="36" customFormat="false" ht="30" hidden="false" customHeight="true" outlineLevel="0" collapsed="false">
      <c r="A36" s="5" t="s">
        <v>1136</v>
      </c>
      <c r="B36" s="5" t="s">
        <v>162</v>
      </c>
      <c r="C36" s="5" t="s">
        <v>47</v>
      </c>
      <c r="D36" s="5" t="s">
        <v>822</v>
      </c>
      <c r="E36" s="5"/>
      <c r="F36" s="5"/>
      <c r="G36" s="5" t="s">
        <v>1221</v>
      </c>
      <c r="H36" s="5" t="s">
        <v>137</v>
      </c>
    </row>
    <row r="37" customFormat="false" ht="32.8" hidden="false" customHeight="false" outlineLevel="0" collapsed="false">
      <c r="A37" s="12" t="s">
        <v>1222</v>
      </c>
      <c r="B37" s="7" t="s">
        <v>1223</v>
      </c>
      <c r="C37" s="12" t="s">
        <v>1224</v>
      </c>
      <c r="D37" s="12" t="s">
        <v>1225</v>
      </c>
      <c r="E37" s="6"/>
      <c r="F37" s="6"/>
      <c r="G37" s="50" t="s">
        <v>1226</v>
      </c>
      <c r="H37" s="12" t="s">
        <v>1227</v>
      </c>
    </row>
    <row r="38" customFormat="false" ht="15" hidden="false" customHeight="false" outlineLevel="0" collapsed="false">
      <c r="A38" s="12" t="s">
        <v>1222</v>
      </c>
      <c r="B38" s="7" t="s">
        <v>1228</v>
      </c>
      <c r="C38" s="12" t="s">
        <v>1229</v>
      </c>
      <c r="D38" s="12" t="s">
        <v>1230</v>
      </c>
      <c r="E38" s="6"/>
      <c r="F38" s="6"/>
      <c r="G38" s="50" t="s">
        <v>1226</v>
      </c>
      <c r="H38" s="12" t="s">
        <v>1231</v>
      </c>
    </row>
    <row r="39" customFormat="false" ht="15" hidden="false" customHeight="false" outlineLevel="0" collapsed="false">
      <c r="A39" s="12" t="s">
        <v>1222</v>
      </c>
      <c r="B39" s="7" t="s">
        <v>1232</v>
      </c>
      <c r="C39" s="12" t="s">
        <v>1233</v>
      </c>
      <c r="D39" s="12" t="s">
        <v>1234</v>
      </c>
      <c r="E39" s="6"/>
      <c r="F39" s="6"/>
      <c r="G39" s="50" t="s">
        <v>1226</v>
      </c>
      <c r="H39" s="12" t="s">
        <v>1235</v>
      </c>
    </row>
    <row r="40" customFormat="false" ht="15" hidden="false" customHeight="false" outlineLevel="0" collapsed="false">
      <c r="A40" s="12" t="s">
        <v>1222</v>
      </c>
      <c r="B40" s="7" t="s">
        <v>1236</v>
      </c>
      <c r="C40" s="12" t="s">
        <v>1237</v>
      </c>
      <c r="D40" s="12" t="s">
        <v>198</v>
      </c>
      <c r="E40" s="6"/>
      <c r="F40" s="6"/>
      <c r="G40" s="50" t="s">
        <v>1226</v>
      </c>
      <c r="H40" s="12" t="s">
        <v>1238</v>
      </c>
    </row>
    <row r="41" customFormat="false" ht="23.85" hidden="false" customHeight="false" outlineLevel="0" collapsed="false">
      <c r="A41" s="12" t="s">
        <v>1239</v>
      </c>
      <c r="B41" s="7" t="s">
        <v>1240</v>
      </c>
      <c r="C41" s="12" t="s">
        <v>1241</v>
      </c>
      <c r="D41" s="12" t="s">
        <v>1242</v>
      </c>
      <c r="E41" s="6"/>
      <c r="F41" s="6"/>
      <c r="G41" s="50" t="s">
        <v>1226</v>
      </c>
      <c r="H41" s="12" t="s">
        <v>1243</v>
      </c>
    </row>
    <row r="42" customFormat="false" ht="23.85" hidden="false" customHeight="false" outlineLevel="0" collapsed="false">
      <c r="A42" s="12" t="s">
        <v>1239</v>
      </c>
      <c r="B42" s="7" t="s">
        <v>1244</v>
      </c>
      <c r="C42" s="12" t="s">
        <v>1241</v>
      </c>
      <c r="D42" s="12" t="s">
        <v>1245</v>
      </c>
      <c r="E42" s="6"/>
      <c r="F42" s="6"/>
      <c r="G42" s="50" t="s">
        <v>1226</v>
      </c>
      <c r="H42" s="12" t="s">
        <v>1246</v>
      </c>
    </row>
    <row r="43" customFormat="false" ht="15" hidden="false" customHeight="false" outlineLevel="0" collapsed="false">
      <c r="A43" s="12" t="s">
        <v>1239</v>
      </c>
      <c r="B43" s="7" t="s">
        <v>1247</v>
      </c>
      <c r="C43" s="12" t="s">
        <v>1241</v>
      </c>
      <c r="D43" s="12" t="s">
        <v>1248</v>
      </c>
      <c r="E43" s="6"/>
      <c r="F43" s="6"/>
      <c r="G43" s="50" t="s">
        <v>1226</v>
      </c>
      <c r="H43" s="12" t="s">
        <v>1249</v>
      </c>
    </row>
    <row r="44" customFormat="false" ht="15" hidden="false" customHeight="false" outlineLevel="0" collapsed="false">
      <c r="A44" s="12" t="s">
        <v>1239</v>
      </c>
      <c r="B44" s="7" t="s">
        <v>1250</v>
      </c>
      <c r="C44" s="12" t="s">
        <v>1241</v>
      </c>
      <c r="D44" s="12" t="s">
        <v>1251</v>
      </c>
      <c r="E44" s="6"/>
      <c r="F44" s="6"/>
      <c r="G44" s="50" t="s">
        <v>1226</v>
      </c>
      <c r="H44" s="12" t="s">
        <v>1252</v>
      </c>
    </row>
    <row r="45" customFormat="false" ht="15" hidden="false" customHeight="false" outlineLevel="0" collapsed="false">
      <c r="A45" s="12" t="s">
        <v>1239</v>
      </c>
      <c r="B45" s="7" t="s">
        <v>1253</v>
      </c>
      <c r="C45" s="12" t="s">
        <v>1241</v>
      </c>
      <c r="D45" s="12" t="s">
        <v>1248</v>
      </c>
      <c r="E45" s="6"/>
      <c r="F45" s="6"/>
      <c r="G45" s="50" t="s">
        <v>1226</v>
      </c>
      <c r="H45" s="12" t="s">
        <v>1254</v>
      </c>
    </row>
    <row r="46" customFormat="false" ht="15" hidden="false" customHeight="false" outlineLevel="0" collapsed="false">
      <c r="A46" s="12" t="s">
        <v>1239</v>
      </c>
      <c r="B46" s="7" t="s">
        <v>1255</v>
      </c>
      <c r="C46" s="12" t="s">
        <v>1256</v>
      </c>
      <c r="D46" s="12" t="s">
        <v>1257</v>
      </c>
      <c r="E46" s="6"/>
      <c r="F46" s="6"/>
      <c r="G46" s="50" t="s">
        <v>1226</v>
      </c>
      <c r="H46" s="12" t="s">
        <v>1258</v>
      </c>
    </row>
    <row r="47" customFormat="false" ht="15" hidden="false" customHeight="false" outlineLevel="0" collapsed="false">
      <c r="A47" s="12" t="s">
        <v>1239</v>
      </c>
      <c r="B47" s="7" t="s">
        <v>1259</v>
      </c>
      <c r="C47" s="12" t="s">
        <v>1260</v>
      </c>
      <c r="D47" s="12" t="s">
        <v>1261</v>
      </c>
      <c r="E47" s="6"/>
      <c r="F47" s="6"/>
      <c r="G47" s="50" t="s">
        <v>1226</v>
      </c>
      <c r="H47" s="12" t="s">
        <v>1262</v>
      </c>
    </row>
    <row r="48" customFormat="false" ht="22.35" hidden="false" customHeight="false" outlineLevel="0" collapsed="false">
      <c r="A48" s="12" t="s">
        <v>1263</v>
      </c>
      <c r="B48" s="7" t="s">
        <v>1264</v>
      </c>
      <c r="C48" s="12" t="s">
        <v>1265</v>
      </c>
      <c r="D48" s="12" t="s">
        <v>985</v>
      </c>
      <c r="E48" s="6"/>
      <c r="F48" s="6"/>
      <c r="G48" s="50" t="s">
        <v>1226</v>
      </c>
      <c r="H48" s="12" t="s">
        <v>1266</v>
      </c>
    </row>
    <row r="49" customFormat="false" ht="15" hidden="false" customHeight="false" outlineLevel="0" collapsed="false">
      <c r="A49" s="12" t="s">
        <v>1263</v>
      </c>
      <c r="B49" s="7" t="s">
        <v>1267</v>
      </c>
      <c r="C49" s="12" t="s">
        <v>1268</v>
      </c>
      <c r="D49" s="12" t="s">
        <v>1269</v>
      </c>
      <c r="E49" s="6"/>
      <c r="F49" s="6"/>
      <c r="G49" s="50" t="s">
        <v>1226</v>
      </c>
      <c r="H49" s="12" t="s">
        <v>1270</v>
      </c>
    </row>
    <row r="50" customFormat="false" ht="15" hidden="false" customHeight="false" outlineLevel="0" collapsed="false">
      <c r="A50" s="12" t="s">
        <v>1263</v>
      </c>
      <c r="B50" s="7" t="s">
        <v>1271</v>
      </c>
      <c r="C50" s="12" t="s">
        <v>1142</v>
      </c>
      <c r="D50" s="12" t="s">
        <v>1269</v>
      </c>
      <c r="E50" s="6"/>
      <c r="F50" s="6"/>
      <c r="G50" s="50" t="s">
        <v>1226</v>
      </c>
      <c r="H50" s="12" t="s">
        <v>1272</v>
      </c>
    </row>
    <row r="51" customFormat="false" ht="23.85" hidden="false" customHeight="false" outlineLevel="0" collapsed="false">
      <c r="A51" s="12" t="s">
        <v>1263</v>
      </c>
      <c r="B51" s="7" t="s">
        <v>1273</v>
      </c>
      <c r="C51" s="12" t="s">
        <v>1237</v>
      </c>
      <c r="D51" s="12" t="s">
        <v>1274</v>
      </c>
      <c r="E51" s="6"/>
      <c r="F51" s="6"/>
      <c r="G51" s="50" t="s">
        <v>1226</v>
      </c>
      <c r="H51" s="12" t="s">
        <v>1275</v>
      </c>
    </row>
    <row r="52" customFormat="false" ht="22.35" hidden="false" customHeight="false" outlineLevel="0" collapsed="false">
      <c r="A52" s="12" t="s">
        <v>1276</v>
      </c>
      <c r="B52" s="7" t="s">
        <v>1277</v>
      </c>
      <c r="C52" s="12" t="s">
        <v>1278</v>
      </c>
      <c r="D52" s="12" t="s">
        <v>1279</v>
      </c>
      <c r="E52" s="6"/>
      <c r="F52" s="6"/>
      <c r="G52" s="50" t="s">
        <v>1226</v>
      </c>
      <c r="H52" s="12" t="s">
        <v>1280</v>
      </c>
    </row>
    <row r="53" customFormat="false" ht="15" hidden="false" customHeight="false" outlineLevel="0" collapsed="false">
      <c r="A53" s="12" t="s">
        <v>1276</v>
      </c>
      <c r="B53" s="7" t="s">
        <v>1281</v>
      </c>
      <c r="C53" s="12" t="s">
        <v>1237</v>
      </c>
      <c r="D53" s="12" t="s">
        <v>1282</v>
      </c>
      <c r="E53" s="6"/>
      <c r="F53" s="6"/>
      <c r="G53" s="50" t="s">
        <v>1226</v>
      </c>
      <c r="H53" s="12" t="s">
        <v>1283</v>
      </c>
    </row>
    <row r="54" customFormat="false" ht="15" hidden="false" customHeight="false" outlineLevel="0" collapsed="false">
      <c r="A54" s="12" t="s">
        <v>1276</v>
      </c>
      <c r="B54" s="7" t="s">
        <v>1284</v>
      </c>
      <c r="C54" s="12" t="s">
        <v>1285</v>
      </c>
      <c r="D54" s="12" t="s">
        <v>1286</v>
      </c>
      <c r="E54" s="6"/>
      <c r="F54" s="6"/>
      <c r="G54" s="50" t="s">
        <v>1226</v>
      </c>
      <c r="H54" s="12" t="s">
        <v>1287</v>
      </c>
    </row>
    <row r="55" customFormat="false" ht="15" hidden="false" customHeight="false" outlineLevel="0" collapsed="false">
      <c r="A55" s="12" t="s">
        <v>1276</v>
      </c>
      <c r="B55" s="7" t="s">
        <v>1288</v>
      </c>
      <c r="C55" s="12" t="s">
        <v>1289</v>
      </c>
      <c r="D55" s="12" t="s">
        <v>1290</v>
      </c>
      <c r="E55" s="6"/>
      <c r="F55" s="6"/>
      <c r="G55" s="50" t="s">
        <v>1226</v>
      </c>
      <c r="H55" s="12" t="s">
        <v>1291</v>
      </c>
    </row>
    <row r="56" customFormat="false" ht="15" hidden="false" customHeight="false" outlineLevel="0" collapsed="false">
      <c r="A56" s="12" t="s">
        <v>1292</v>
      </c>
      <c r="B56" s="7" t="s">
        <v>1293</v>
      </c>
      <c r="C56" s="12" t="s">
        <v>1237</v>
      </c>
      <c r="D56" s="12" t="s">
        <v>207</v>
      </c>
      <c r="E56" s="6"/>
      <c r="F56" s="6"/>
      <c r="G56" s="50" t="s">
        <v>1226</v>
      </c>
      <c r="H56" s="12" t="s">
        <v>1294</v>
      </c>
    </row>
    <row r="57" customFormat="false" ht="15" hidden="false" customHeight="false" outlineLevel="0" collapsed="false">
      <c r="A57" s="12" t="s">
        <v>1292</v>
      </c>
      <c r="B57" s="7" t="s">
        <v>1295</v>
      </c>
      <c r="C57" s="12" t="s">
        <v>1241</v>
      </c>
      <c r="D57" s="12" t="s">
        <v>212</v>
      </c>
      <c r="E57" s="6"/>
      <c r="F57" s="6"/>
      <c r="G57" s="50" t="s">
        <v>1226</v>
      </c>
      <c r="H57" s="12" t="s">
        <v>1296</v>
      </c>
    </row>
    <row r="58" customFormat="false" ht="15" hidden="false" customHeight="false" outlineLevel="0" collapsed="false">
      <c r="A58" s="12" t="s">
        <v>1292</v>
      </c>
      <c r="B58" s="7" t="s">
        <v>1297</v>
      </c>
      <c r="C58" s="12" t="s">
        <v>1237</v>
      </c>
      <c r="D58" s="12" t="s">
        <v>104</v>
      </c>
      <c r="E58" s="6"/>
      <c r="F58" s="6"/>
      <c r="G58" s="50" t="s">
        <v>1226</v>
      </c>
      <c r="H58" s="12" t="s">
        <v>1298</v>
      </c>
    </row>
    <row r="59" customFormat="false" ht="15" hidden="false" customHeight="false" outlineLevel="0" collapsed="false">
      <c r="A59" s="12" t="s">
        <v>1292</v>
      </c>
      <c r="B59" s="7" t="s">
        <v>1299</v>
      </c>
      <c r="C59" s="12" t="s">
        <v>1025</v>
      </c>
      <c r="D59" s="12" t="s">
        <v>1300</v>
      </c>
      <c r="E59" s="6"/>
      <c r="F59" s="6"/>
      <c r="G59" s="50" t="s">
        <v>1226</v>
      </c>
      <c r="H59" s="12" t="s">
        <v>1301</v>
      </c>
    </row>
    <row r="60" customFormat="false" ht="23.85" hidden="false" customHeight="false" outlineLevel="0" collapsed="false">
      <c r="A60" s="12" t="s">
        <v>1302</v>
      </c>
      <c r="B60" s="7" t="s">
        <v>1303</v>
      </c>
      <c r="C60" s="12" t="s">
        <v>1237</v>
      </c>
      <c r="D60" s="12" t="s">
        <v>1304</v>
      </c>
      <c r="E60" s="6"/>
      <c r="F60" s="6"/>
      <c r="G60" s="50" t="s">
        <v>1226</v>
      </c>
      <c r="H60" s="12" t="s">
        <v>1305</v>
      </c>
    </row>
    <row r="61" customFormat="false" ht="22.35" hidden="false" customHeight="false" outlineLevel="0" collapsed="false">
      <c r="A61" s="12" t="s">
        <v>1302</v>
      </c>
      <c r="B61" s="7" t="s">
        <v>1306</v>
      </c>
      <c r="C61" s="12" t="s">
        <v>1307</v>
      </c>
      <c r="D61" s="12" t="s">
        <v>1308</v>
      </c>
      <c r="E61" s="6"/>
      <c r="F61" s="6"/>
      <c r="G61" s="50" t="s">
        <v>1226</v>
      </c>
      <c r="H61" s="12" t="s">
        <v>1309</v>
      </c>
    </row>
    <row r="62" customFormat="false" ht="15" hidden="false" customHeight="false" outlineLevel="0" collapsed="false">
      <c r="A62" s="12" t="s">
        <v>1302</v>
      </c>
      <c r="B62" s="7" t="s">
        <v>1310</v>
      </c>
      <c r="C62" s="12" t="s">
        <v>1311</v>
      </c>
      <c r="D62" s="12" t="s">
        <v>1312</v>
      </c>
      <c r="E62" s="6"/>
      <c r="F62" s="6"/>
      <c r="G62" s="50" t="s">
        <v>1226</v>
      </c>
      <c r="H62" s="12" t="s">
        <v>1313</v>
      </c>
    </row>
    <row r="63" customFormat="false" ht="15" hidden="false" customHeight="false" outlineLevel="0" collapsed="false">
      <c r="A63" s="12" t="s">
        <v>1302</v>
      </c>
      <c r="B63" s="7" t="s">
        <v>1314</v>
      </c>
      <c r="C63" s="12" t="s">
        <v>1311</v>
      </c>
      <c r="D63" s="12" t="s">
        <v>1315</v>
      </c>
      <c r="E63" s="6"/>
      <c r="F63" s="6"/>
      <c r="G63" s="50" t="s">
        <v>1226</v>
      </c>
      <c r="H63" s="12" t="s">
        <v>1316</v>
      </c>
    </row>
    <row r="64" customFormat="false" ht="22.35" hidden="false" customHeight="false" outlineLevel="0" collapsed="false">
      <c r="A64" s="12" t="s">
        <v>1317</v>
      </c>
      <c r="B64" s="7" t="s">
        <v>1318</v>
      </c>
      <c r="C64" s="12" t="s">
        <v>1319</v>
      </c>
      <c r="D64" s="12" t="s">
        <v>1290</v>
      </c>
      <c r="E64" s="6"/>
      <c r="F64" s="6"/>
      <c r="G64" s="50" t="s">
        <v>1226</v>
      </c>
      <c r="H64" s="12" t="s">
        <v>1320</v>
      </c>
    </row>
    <row r="65" customFormat="false" ht="15" hidden="false" customHeight="false" outlineLevel="0" collapsed="false">
      <c r="A65" s="12" t="s">
        <v>1317</v>
      </c>
      <c r="B65" s="7" t="s">
        <v>1321</v>
      </c>
      <c r="C65" s="12" t="s">
        <v>1322</v>
      </c>
      <c r="D65" s="12" t="s">
        <v>1323</v>
      </c>
      <c r="E65" s="6"/>
      <c r="F65" s="6"/>
      <c r="G65" s="50" t="s">
        <v>1226</v>
      </c>
      <c r="H65" s="12" t="s">
        <v>1324</v>
      </c>
    </row>
    <row r="66" customFormat="false" ht="15" hidden="false" customHeight="false" outlineLevel="0" collapsed="false">
      <c r="A66" s="12" t="s">
        <v>1317</v>
      </c>
      <c r="B66" s="7" t="s">
        <v>1325</v>
      </c>
      <c r="C66" s="12" t="s">
        <v>1326</v>
      </c>
      <c r="D66" s="12" t="s">
        <v>1290</v>
      </c>
      <c r="E66" s="6"/>
      <c r="F66" s="6"/>
      <c r="G66" s="50" t="s">
        <v>1226</v>
      </c>
      <c r="H66" s="12" t="s">
        <v>1327</v>
      </c>
    </row>
    <row r="67" customFormat="false" ht="15" hidden="false" customHeight="false" outlineLevel="0" collapsed="false">
      <c r="A67" s="12" t="s">
        <v>1317</v>
      </c>
      <c r="B67" s="7" t="s">
        <v>1328</v>
      </c>
      <c r="C67" s="12" t="s">
        <v>1329</v>
      </c>
      <c r="D67" s="12" t="s">
        <v>1330</v>
      </c>
      <c r="E67" s="6"/>
      <c r="F67" s="6"/>
      <c r="G67" s="50" t="s">
        <v>1226</v>
      </c>
      <c r="H67" s="12" t="s">
        <v>1331</v>
      </c>
    </row>
    <row r="68" customFormat="false" ht="15" hidden="false" customHeight="false" outlineLevel="0" collapsed="false">
      <c r="A68" s="12" t="s">
        <v>1317</v>
      </c>
      <c r="B68" s="7" t="s">
        <v>1332</v>
      </c>
      <c r="C68" s="12" t="s">
        <v>1333</v>
      </c>
      <c r="D68" s="12" t="s">
        <v>1330</v>
      </c>
      <c r="E68" s="6"/>
      <c r="F68" s="6"/>
      <c r="G68" s="50" t="s">
        <v>1226</v>
      </c>
      <c r="H68" s="12" t="s">
        <v>1334</v>
      </c>
    </row>
    <row r="70" customFormat="false" ht="15" hidden="false" customHeight="false" outlineLevel="0" collapsed="false">
      <c r="A70" s="3" t="s">
        <v>1335</v>
      </c>
    </row>
    <row r="71" customFormat="false" ht="30" hidden="false" customHeight="true" outlineLevel="0" collapsed="false">
      <c r="A71" s="5" t="s">
        <v>1336</v>
      </c>
      <c r="B71" s="5" t="s">
        <v>162</v>
      </c>
      <c r="C71" s="5"/>
      <c r="D71" s="5"/>
      <c r="E71" s="5"/>
      <c r="F71" s="5"/>
      <c r="G71" s="5"/>
      <c r="H71" s="5" t="s">
        <v>1337</v>
      </c>
    </row>
    <row r="72" customFormat="false" ht="15" hidden="false" customHeight="false" outlineLevel="0" collapsed="false">
      <c r="A72" s="7" t="n">
        <v>1</v>
      </c>
      <c r="B72" s="7" t="s">
        <v>1338</v>
      </c>
      <c r="C72" s="6"/>
      <c r="D72" s="6"/>
      <c r="E72" s="6"/>
      <c r="F72" s="6"/>
      <c r="G72" s="6"/>
      <c r="H72" s="12" t="s">
        <v>1339</v>
      </c>
    </row>
    <row r="73" customFormat="false" ht="15" hidden="false" customHeight="false" outlineLevel="0" collapsed="false">
      <c r="A73" s="7" t="n">
        <v>2</v>
      </c>
      <c r="B73" s="7" t="s">
        <v>1340</v>
      </c>
      <c r="C73" s="6"/>
      <c r="D73" s="6"/>
      <c r="E73" s="6"/>
      <c r="F73" s="6"/>
      <c r="G73" s="6"/>
      <c r="H73" s="12" t="s">
        <v>1341</v>
      </c>
    </row>
    <row r="74" customFormat="false" ht="22.35" hidden="false" customHeight="false" outlineLevel="0" collapsed="false">
      <c r="A74" s="7" t="n">
        <v>3</v>
      </c>
      <c r="B74" s="7" t="s">
        <v>929</v>
      </c>
      <c r="C74" s="6"/>
      <c r="D74" s="6"/>
      <c r="E74" s="6"/>
      <c r="F74" s="6"/>
      <c r="G74" s="6"/>
      <c r="H74" s="12" t="s">
        <v>1342</v>
      </c>
    </row>
    <row r="75" customFormat="false" ht="15" hidden="false" customHeight="false" outlineLevel="0" collapsed="false">
      <c r="A75" s="7" t="n">
        <v>4</v>
      </c>
      <c r="B75" s="7" t="s">
        <v>1343</v>
      </c>
      <c r="C75" s="6"/>
      <c r="D75" s="6"/>
      <c r="E75" s="6"/>
      <c r="F75" s="6"/>
      <c r="G75" s="6"/>
      <c r="H75" s="12" t="s">
        <v>1344</v>
      </c>
    </row>
    <row r="76" customFormat="false" ht="15" hidden="false" customHeight="false" outlineLevel="0" collapsed="false">
      <c r="A76" s="7" t="n">
        <v>5</v>
      </c>
      <c r="B76" s="7" t="s">
        <v>1345</v>
      </c>
      <c r="C76" s="6"/>
      <c r="D76" s="6"/>
      <c r="E76" s="6"/>
      <c r="F76" s="6"/>
      <c r="G76" s="6"/>
      <c r="H76" s="12" t="s">
        <v>1346</v>
      </c>
    </row>
    <row r="77" customFormat="false" ht="15" hidden="false" customHeight="false" outlineLevel="0" collapsed="false">
      <c r="A77" s="7" t="n">
        <v>6</v>
      </c>
      <c r="B77" s="7" t="s">
        <v>1347</v>
      </c>
      <c r="C77" s="6"/>
      <c r="D77" s="6"/>
      <c r="E77" s="6"/>
      <c r="F77" s="6"/>
      <c r="G77" s="6"/>
      <c r="H77" s="12" t="s">
        <v>1348</v>
      </c>
    </row>
    <row r="79" customFormat="false" ht="15" hidden="false" customHeight="false" outlineLevel="0" collapsed="false">
      <c r="A79" s="3" t="s">
        <v>1349</v>
      </c>
    </row>
    <row r="80" customFormat="false" ht="30" hidden="false" customHeight="true" outlineLevel="0" collapsed="false">
      <c r="A80" s="5" t="s">
        <v>233</v>
      </c>
      <c r="B80" s="5" t="s">
        <v>839</v>
      </c>
      <c r="C80" s="5"/>
      <c r="D80" s="5"/>
      <c r="E80" s="5"/>
      <c r="F80" s="5"/>
      <c r="G80" s="5"/>
      <c r="H80" s="5" t="s">
        <v>137</v>
      </c>
    </row>
    <row r="81" customFormat="false" ht="15" hidden="false" customHeight="false" outlineLevel="0" collapsed="false">
      <c r="A81" s="7" t="s">
        <v>1350</v>
      </c>
      <c r="B81" s="7" t="s">
        <v>1351</v>
      </c>
      <c r="C81" s="6"/>
      <c r="D81" s="6"/>
      <c r="E81" s="6"/>
      <c r="F81" s="6"/>
      <c r="G81" s="6"/>
      <c r="H81" s="12" t="s">
        <v>1352</v>
      </c>
    </row>
    <row r="82" customFormat="false" ht="23.85" hidden="false" customHeight="false" outlineLevel="0" collapsed="false">
      <c r="A82" s="7" t="s">
        <v>1353</v>
      </c>
      <c r="B82" s="7" t="s">
        <v>1354</v>
      </c>
      <c r="C82" s="6"/>
      <c r="D82" s="6"/>
      <c r="E82" s="6"/>
      <c r="F82" s="6"/>
      <c r="G82" s="6"/>
      <c r="H82" s="12" t="s">
        <v>1355</v>
      </c>
    </row>
    <row r="83" customFormat="false" ht="23.85" hidden="false" customHeight="false" outlineLevel="0" collapsed="false">
      <c r="A83" s="7" t="s">
        <v>1356</v>
      </c>
      <c r="B83" s="7" t="s">
        <v>849</v>
      </c>
      <c r="C83" s="6"/>
      <c r="D83" s="6"/>
      <c r="E83" s="6"/>
      <c r="F83" s="6"/>
      <c r="G83" s="6"/>
      <c r="H83" s="12" t="s">
        <v>1357</v>
      </c>
    </row>
    <row r="84" customFormat="false" ht="15" hidden="false" customHeight="false" outlineLevel="0" collapsed="false">
      <c r="A84" s="7" t="s">
        <v>1358</v>
      </c>
      <c r="B84" s="7" t="s">
        <v>1359</v>
      </c>
      <c r="C84" s="6"/>
      <c r="D84" s="6"/>
      <c r="E84" s="6"/>
      <c r="F84" s="6"/>
      <c r="G84" s="6"/>
      <c r="H84" s="12" t="s">
        <v>1360</v>
      </c>
    </row>
    <row r="85" customFormat="false" ht="23.85" hidden="false" customHeight="false" outlineLevel="0" collapsed="false">
      <c r="A85" s="7" t="s">
        <v>1361</v>
      </c>
      <c r="B85" s="7" t="s">
        <v>841</v>
      </c>
      <c r="C85" s="6"/>
      <c r="D85" s="6"/>
      <c r="E85" s="6"/>
      <c r="F85" s="6"/>
      <c r="G85" s="6"/>
      <c r="H85" s="12" t="s">
        <v>1362</v>
      </c>
    </row>
  </sheetData>
  <autoFilter ref="A7:H30"/>
  <hyperlinks>
    <hyperlink ref="G8" r:id="rId1" display="csv"/>
    <hyperlink ref="G9" r:id="rId2" display="csv"/>
    <hyperlink ref="G10" r:id="rId3" display="csv"/>
    <hyperlink ref="G11" r:id="rId4" display="csv"/>
    <hyperlink ref="G12" r:id="rId5" display="csv"/>
    <hyperlink ref="G13" r:id="rId6" display="csv"/>
    <hyperlink ref="G14" r:id="rId7" display="csv"/>
    <hyperlink ref="G15" r:id="rId8" display="csv"/>
    <hyperlink ref="G16" r:id="rId9" display="csv"/>
    <hyperlink ref="G17" r:id="rId10" display="csv"/>
    <hyperlink ref="G18" r:id="rId11" display="csv"/>
    <hyperlink ref="G19" r:id="rId12" display="csv"/>
    <hyperlink ref="G20" r:id="rId13" display="csv"/>
    <hyperlink ref="G21" r:id="rId14" display="csv"/>
    <hyperlink ref="G22" r:id="rId15" display="csv"/>
    <hyperlink ref="G23" r:id="rId16" display="csv"/>
    <hyperlink ref="G24" r:id="rId17" display="csv"/>
    <hyperlink ref="G25" r:id="rId18" display="csv"/>
    <hyperlink ref="G26" r:id="rId19" display="csv"/>
    <hyperlink ref="G27" r:id="rId20" display="csv"/>
    <hyperlink ref="G28" r:id="rId21" display="csv"/>
    <hyperlink ref="G29" r:id="rId22" display="csv"/>
    <hyperlink ref="G30" r:id="rId23" display="csv"/>
    <hyperlink ref="G37" r:id="rId24" display="open"/>
    <hyperlink ref="G38" r:id="rId25" display="open"/>
    <hyperlink ref="G39" r:id="rId26" display="open"/>
    <hyperlink ref="G40" r:id="rId27" display="open"/>
    <hyperlink ref="G41" r:id="rId28" display="open"/>
    <hyperlink ref="G42" r:id="rId29" display="open"/>
    <hyperlink ref="G43" r:id="rId30" display="open"/>
    <hyperlink ref="G44" r:id="rId31" display="open"/>
    <hyperlink ref="G45" r:id="rId32" display="open"/>
    <hyperlink ref="G46" r:id="rId33" display="open"/>
    <hyperlink ref="G47" r:id="rId34" display="open"/>
    <hyperlink ref="G48" r:id="rId35" display="open"/>
    <hyperlink ref="G49" r:id="rId36" display="open"/>
    <hyperlink ref="G50" r:id="rId37" display="open"/>
    <hyperlink ref="G51" r:id="rId38" display="open"/>
    <hyperlink ref="G52" r:id="rId39" display="open"/>
    <hyperlink ref="G53" r:id="rId40" display="open"/>
    <hyperlink ref="G54" r:id="rId41" display="open"/>
    <hyperlink ref="G55" r:id="rId42" display="open"/>
    <hyperlink ref="G56" r:id="rId43" display="open"/>
    <hyperlink ref="G57" r:id="rId44" display="open"/>
    <hyperlink ref="G58" r:id="rId45" display="open"/>
    <hyperlink ref="G59" r:id="rId46" display="open"/>
    <hyperlink ref="G60" r:id="rId47" display="open"/>
    <hyperlink ref="G61" r:id="rId48" display="open"/>
    <hyperlink ref="G62" r:id="rId49" display="open"/>
    <hyperlink ref="G63" r:id="rId50" display="open"/>
    <hyperlink ref="G64" r:id="rId51" display="open"/>
    <hyperlink ref="G65" r:id="rId52" display="open"/>
    <hyperlink ref="G66" r:id="rId53" display="open"/>
    <hyperlink ref="G67" r:id="rId54" display="open"/>
    <hyperlink ref="G68" r:id="rId55"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C6E7C"/>
    <pageSetUpPr fitToPage="false"/>
  </sheetPr>
  <dimension ref="A1:D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4"/>
    <col collapsed="false" customWidth="true" hidden="false" outlineLevel="0" max="4" min="4" style="0" width="58"/>
  </cols>
  <sheetData>
    <row r="1" customFormat="false" ht="21.75" hidden="false" customHeight="true" outlineLevel="0" collapsed="false">
      <c r="A1" s="1" t="s">
        <v>1363</v>
      </c>
    </row>
    <row r="2" customFormat="false" ht="15" hidden="false" customHeight="false" outlineLevel="0" collapsed="false">
      <c r="A2" s="2" t="s">
        <v>1364</v>
      </c>
    </row>
    <row r="4" customFormat="false" ht="15" hidden="false" customHeight="false" outlineLevel="0" collapsed="false">
      <c r="A4" s="3" t="s">
        <v>1365</v>
      </c>
    </row>
    <row r="5" customFormat="false" ht="30" hidden="false" customHeight="true" outlineLevel="0" collapsed="false">
      <c r="A5" s="5" t="s">
        <v>767</v>
      </c>
      <c r="B5" s="5" t="s">
        <v>1366</v>
      </c>
      <c r="C5" s="5" t="s">
        <v>1367</v>
      </c>
      <c r="D5" s="5" t="s">
        <v>1368</v>
      </c>
    </row>
    <row r="6" customFormat="false" ht="23.85" hidden="false" customHeight="false" outlineLevel="0" collapsed="false">
      <c r="A6" s="7" t="s">
        <v>166</v>
      </c>
      <c r="B6" s="6" t="s">
        <v>1369</v>
      </c>
      <c r="C6" s="12" t="s">
        <v>1370</v>
      </c>
      <c r="D6" s="12" t="s">
        <v>1371</v>
      </c>
    </row>
    <row r="7" customFormat="false" ht="15" hidden="false" customHeight="false" outlineLevel="0" collapsed="false">
      <c r="A7" s="7" t="s">
        <v>1372</v>
      </c>
      <c r="B7" s="6" t="s">
        <v>1373</v>
      </c>
      <c r="C7" s="12" t="s">
        <v>212</v>
      </c>
      <c r="D7" s="12" t="s">
        <v>1374</v>
      </c>
    </row>
    <row r="8" customFormat="false" ht="22.35" hidden="false" customHeight="false" outlineLevel="0" collapsed="false">
      <c r="A8" s="7" t="s">
        <v>1375</v>
      </c>
      <c r="B8" s="6" t="s">
        <v>1376</v>
      </c>
      <c r="C8" s="12" t="s">
        <v>1147</v>
      </c>
      <c r="D8" s="12" t="s">
        <v>1377</v>
      </c>
    </row>
    <row r="9" customFormat="false" ht="15" hidden="false" customHeight="false" outlineLevel="0" collapsed="false">
      <c r="A9" s="7" t="s">
        <v>203</v>
      </c>
      <c r="B9" s="6" t="s">
        <v>1378</v>
      </c>
      <c r="C9" s="12" t="s">
        <v>212</v>
      </c>
      <c r="D9" s="12" t="s">
        <v>1379</v>
      </c>
    </row>
    <row r="11" customFormat="false" ht="15" hidden="false" customHeight="false" outlineLevel="0" collapsed="false">
      <c r="A11" s="3" t="s">
        <v>1239</v>
      </c>
    </row>
    <row r="12" customFormat="false" ht="30" hidden="false" customHeight="true" outlineLevel="0" collapsed="false">
      <c r="A12" s="5" t="s">
        <v>767</v>
      </c>
      <c r="B12" s="5" t="s">
        <v>1366</v>
      </c>
      <c r="C12" s="5" t="s">
        <v>1367</v>
      </c>
      <c r="D12" s="5" t="s">
        <v>1368</v>
      </c>
    </row>
    <row r="13" customFormat="false" ht="23.85" hidden="false" customHeight="false" outlineLevel="0" collapsed="false">
      <c r="A13" s="7" t="s">
        <v>241</v>
      </c>
      <c r="B13" s="6" t="s">
        <v>1380</v>
      </c>
      <c r="C13" s="12" t="s">
        <v>104</v>
      </c>
      <c r="D13" s="12" t="s">
        <v>1381</v>
      </c>
    </row>
    <row r="14" customFormat="false" ht="15" hidden="false" customHeight="false" outlineLevel="0" collapsed="false">
      <c r="A14" s="7" t="s">
        <v>241</v>
      </c>
      <c r="B14" s="6" t="s">
        <v>1382</v>
      </c>
      <c r="C14" s="12" t="s">
        <v>212</v>
      </c>
      <c r="D14" s="12" t="s">
        <v>1383</v>
      </c>
    </row>
    <row r="15" customFormat="false" ht="15" hidden="false" customHeight="false" outlineLevel="0" collapsed="false">
      <c r="A15" s="7" t="s">
        <v>241</v>
      </c>
      <c r="B15" s="6" t="s">
        <v>1384</v>
      </c>
      <c r="C15" s="12" t="s">
        <v>207</v>
      </c>
      <c r="D15" s="12" t="s">
        <v>1385</v>
      </c>
    </row>
    <row r="16" customFormat="false" ht="23.85" hidden="false" customHeight="false" outlineLevel="0" collapsed="false">
      <c r="A16" s="7" t="s">
        <v>448</v>
      </c>
      <c r="B16" s="6" t="s">
        <v>1386</v>
      </c>
      <c r="C16" s="12" t="s">
        <v>1387</v>
      </c>
      <c r="D16" s="12" t="s">
        <v>1388</v>
      </c>
    </row>
    <row r="17" customFormat="false" ht="22.35" hidden="false" customHeight="false" outlineLevel="0" collapsed="false">
      <c r="A17" s="7" t="s">
        <v>236</v>
      </c>
      <c r="B17" s="6" t="s">
        <v>1389</v>
      </c>
      <c r="C17" s="12" t="s">
        <v>283</v>
      </c>
      <c r="D17" s="12" t="s">
        <v>1390</v>
      </c>
    </row>
    <row r="18" customFormat="false" ht="15" hidden="false" customHeight="false" outlineLevel="0" collapsed="false">
      <c r="A18" s="7" t="s">
        <v>309</v>
      </c>
      <c r="B18" s="6" t="s">
        <v>1391</v>
      </c>
      <c r="C18" s="12" t="s">
        <v>1392</v>
      </c>
      <c r="D18" s="12" t="s">
        <v>1393</v>
      </c>
    </row>
    <row r="20" customFormat="false" ht="15" hidden="false" customHeight="false" outlineLevel="0" collapsed="false">
      <c r="A20" s="3" t="s">
        <v>1394</v>
      </c>
    </row>
    <row r="21" customFormat="false" ht="30" hidden="false" customHeight="true" outlineLevel="0" collapsed="false">
      <c r="A21" s="5" t="s">
        <v>767</v>
      </c>
      <c r="B21" s="5" t="s">
        <v>1366</v>
      </c>
      <c r="C21" s="5" t="s">
        <v>1367</v>
      </c>
      <c r="D21" s="5" t="s">
        <v>1368</v>
      </c>
    </row>
    <row r="22" customFormat="false" ht="23.85" hidden="false" customHeight="false" outlineLevel="0" collapsed="false">
      <c r="A22" s="7" t="s">
        <v>448</v>
      </c>
      <c r="B22" s="6" t="s">
        <v>1395</v>
      </c>
      <c r="C22" s="12" t="s">
        <v>1396</v>
      </c>
      <c r="D22" s="12" t="s">
        <v>1397</v>
      </c>
    </row>
    <row r="23" customFormat="false" ht="22.35" hidden="false" customHeight="false" outlineLevel="0" collapsed="false">
      <c r="A23" s="7" t="s">
        <v>448</v>
      </c>
      <c r="B23" s="6" t="s">
        <v>1398</v>
      </c>
      <c r="C23" s="12" t="s">
        <v>1399</v>
      </c>
      <c r="D23" s="12" t="s">
        <v>1400</v>
      </c>
    </row>
    <row r="24" customFormat="false" ht="22.35" hidden="false" customHeight="false" outlineLevel="0" collapsed="false">
      <c r="A24" s="7" t="s">
        <v>1401</v>
      </c>
      <c r="B24" s="6" t="s">
        <v>1402</v>
      </c>
      <c r="C24" s="12" t="s">
        <v>207</v>
      </c>
      <c r="D24" s="12" t="s">
        <v>1403</v>
      </c>
    </row>
    <row r="25" customFormat="false" ht="15" hidden="false" customHeight="false" outlineLevel="0" collapsed="false">
      <c r="A25" s="7" t="s">
        <v>1404</v>
      </c>
      <c r="B25" s="6" t="s">
        <v>1405</v>
      </c>
      <c r="C25" s="12" t="s">
        <v>207</v>
      </c>
      <c r="D25" s="12" t="s">
        <v>1406</v>
      </c>
    </row>
    <row r="26" customFormat="false" ht="23.85" hidden="false" customHeight="false" outlineLevel="0" collapsed="false">
      <c r="A26" s="7" t="s">
        <v>433</v>
      </c>
      <c r="B26" s="6" t="s">
        <v>1407</v>
      </c>
      <c r="C26" s="12" t="s">
        <v>1408</v>
      </c>
      <c r="D26" s="12" t="s">
        <v>1409</v>
      </c>
    </row>
    <row r="27" customFormat="false" ht="15" hidden="false" customHeight="false" outlineLevel="0" collapsed="false">
      <c r="A27" s="7" t="s">
        <v>433</v>
      </c>
      <c r="B27" s="6" t="s">
        <v>1410</v>
      </c>
      <c r="C27" s="12" t="s">
        <v>207</v>
      </c>
      <c r="D27" s="12" t="s">
        <v>1411</v>
      </c>
    </row>
    <row r="28" customFormat="false" ht="32.8" hidden="false" customHeight="false" outlineLevel="0" collapsed="false">
      <c r="A28" s="7" t="s">
        <v>521</v>
      </c>
      <c r="B28" s="6" t="s">
        <v>1412</v>
      </c>
      <c r="C28" s="12" t="s">
        <v>1413</v>
      </c>
      <c r="D28" s="12" t="s">
        <v>1414</v>
      </c>
    </row>
    <row r="29" customFormat="false" ht="32.8" hidden="false" customHeight="false" outlineLevel="0" collapsed="false">
      <c r="A29" s="7" t="s">
        <v>216</v>
      </c>
      <c r="B29" s="6" t="s">
        <v>1415</v>
      </c>
      <c r="C29" s="12" t="s">
        <v>1416</v>
      </c>
      <c r="D29" s="12" t="s">
        <v>1417</v>
      </c>
    </row>
    <row r="30" customFormat="false" ht="15" hidden="false" customHeight="false" outlineLevel="0" collapsed="false">
      <c r="A30" s="7" t="s">
        <v>1418</v>
      </c>
      <c r="B30" s="6" t="s">
        <v>1419</v>
      </c>
      <c r="C30" s="12" t="s">
        <v>207</v>
      </c>
      <c r="D30" s="12" t="s">
        <v>1420</v>
      </c>
    </row>
    <row r="32" customFormat="false" ht="15" hidden="false" customHeight="false" outlineLevel="0" collapsed="false">
      <c r="A32" s="3" t="s">
        <v>1276</v>
      </c>
    </row>
    <row r="33" customFormat="false" ht="30" hidden="false" customHeight="true" outlineLevel="0" collapsed="false">
      <c r="A33" s="5" t="s">
        <v>767</v>
      </c>
      <c r="B33" s="5" t="s">
        <v>1366</v>
      </c>
      <c r="C33" s="5" t="s">
        <v>1367</v>
      </c>
      <c r="D33" s="5" t="s">
        <v>1368</v>
      </c>
    </row>
    <row r="34" customFormat="false" ht="32.8" hidden="false" customHeight="false" outlineLevel="0" collapsed="false">
      <c r="A34" s="7" t="s">
        <v>1007</v>
      </c>
      <c r="B34" s="6" t="s">
        <v>1421</v>
      </c>
      <c r="C34" s="12" t="s">
        <v>1422</v>
      </c>
      <c r="D34" s="12" t="s">
        <v>1423</v>
      </c>
    </row>
    <row r="35" customFormat="false" ht="15" hidden="false" customHeight="false" outlineLevel="0" collapsed="false">
      <c r="A35" s="7" t="s">
        <v>458</v>
      </c>
      <c r="B35" s="6" t="s">
        <v>1424</v>
      </c>
      <c r="C35" s="12" t="s">
        <v>1425</v>
      </c>
      <c r="D35" s="12" t="s">
        <v>1426</v>
      </c>
    </row>
    <row r="36" customFormat="false" ht="23.85" hidden="false" customHeight="false" outlineLevel="0" collapsed="false">
      <c r="A36" s="7" t="s">
        <v>1427</v>
      </c>
      <c r="B36" s="6" t="s">
        <v>1428</v>
      </c>
      <c r="C36" s="12" t="s">
        <v>1429</v>
      </c>
      <c r="D36" s="12" t="s">
        <v>1430</v>
      </c>
    </row>
    <row r="38" customFormat="false" ht="15" hidden="false" customHeight="false" outlineLevel="0" collapsed="false">
      <c r="A38" s="3" t="s">
        <v>27</v>
      </c>
    </row>
    <row r="39" customFormat="false" ht="30" hidden="false" customHeight="true" outlineLevel="0" collapsed="false">
      <c r="A39" s="5" t="s">
        <v>767</v>
      </c>
      <c r="B39" s="5" t="s">
        <v>1366</v>
      </c>
      <c r="C39" s="5" t="s">
        <v>1367</v>
      </c>
      <c r="D39" s="5" t="s">
        <v>1368</v>
      </c>
    </row>
    <row r="40" customFormat="false" ht="23.85" hidden="false" customHeight="false" outlineLevel="0" collapsed="false">
      <c r="A40" s="7" t="s">
        <v>448</v>
      </c>
      <c r="B40" s="6" t="s">
        <v>1431</v>
      </c>
      <c r="C40" s="12" t="s">
        <v>1432</v>
      </c>
      <c r="D40" s="12" t="s">
        <v>1433</v>
      </c>
    </row>
    <row r="41" customFormat="false" ht="22.35" hidden="false" customHeight="false" outlineLevel="0" collapsed="false">
      <c r="A41" s="7" t="s">
        <v>1434</v>
      </c>
      <c r="B41" s="6" t="s">
        <v>1435</v>
      </c>
      <c r="C41" s="12" t="s">
        <v>104</v>
      </c>
      <c r="D41" s="12" t="s">
        <v>1436</v>
      </c>
    </row>
    <row r="42" customFormat="false" ht="23.85" hidden="false" customHeight="false" outlineLevel="0" collapsed="false">
      <c r="A42" s="7" t="s">
        <v>1437</v>
      </c>
      <c r="B42" s="6" t="s">
        <v>1438</v>
      </c>
      <c r="C42" s="12" t="s">
        <v>1439</v>
      </c>
      <c r="D42" s="12" t="s">
        <v>1440</v>
      </c>
    </row>
    <row r="43" customFormat="false" ht="15" hidden="false" customHeight="false" outlineLevel="0" collapsed="false">
      <c r="A43" s="7" t="s">
        <v>514</v>
      </c>
      <c r="B43" s="6" t="s">
        <v>1441</v>
      </c>
      <c r="C43" s="12" t="s">
        <v>919</v>
      </c>
      <c r="D43" s="12" t="s">
        <v>1442</v>
      </c>
    </row>
    <row r="44" customFormat="false" ht="15" hidden="false" customHeight="false" outlineLevel="0" collapsed="false">
      <c r="A44" s="7" t="s">
        <v>241</v>
      </c>
      <c r="B44" s="6" t="s">
        <v>1443</v>
      </c>
      <c r="C44" s="12" t="s">
        <v>1392</v>
      </c>
      <c r="D44" s="12" t="s">
        <v>1444</v>
      </c>
    </row>
    <row r="46" customFormat="false" ht="15" hidden="false" customHeight="false" outlineLevel="0" collapsed="false">
      <c r="A46" s="3" t="s">
        <v>1445</v>
      </c>
    </row>
    <row r="47" customFormat="false" ht="30" hidden="false" customHeight="true" outlineLevel="0" collapsed="false">
      <c r="A47" s="5" t="s">
        <v>767</v>
      </c>
      <c r="B47" s="5" t="s">
        <v>1366</v>
      </c>
      <c r="C47" s="5" t="s">
        <v>1367</v>
      </c>
      <c r="D47" s="5" t="s">
        <v>1368</v>
      </c>
    </row>
    <row r="48" customFormat="false" ht="15" hidden="false" customHeight="false" outlineLevel="0" collapsed="false">
      <c r="A48" s="7" t="s">
        <v>692</v>
      </c>
      <c r="B48" s="6" t="s">
        <v>1446</v>
      </c>
      <c r="C48" s="12" t="s">
        <v>1447</v>
      </c>
      <c r="D48" s="12" t="s">
        <v>1448</v>
      </c>
    </row>
    <row r="49" customFormat="false" ht="15" hidden="false" customHeight="false" outlineLevel="0" collapsed="false">
      <c r="A49" s="7" t="s">
        <v>692</v>
      </c>
      <c r="B49" s="6" t="s">
        <v>1449</v>
      </c>
      <c r="C49" s="12" t="s">
        <v>1450</v>
      </c>
      <c r="D49" s="12" t="s">
        <v>1451</v>
      </c>
    </row>
    <row r="50" customFormat="false" ht="15" hidden="false" customHeight="false" outlineLevel="0" collapsed="false">
      <c r="A50" s="7" t="s">
        <v>31</v>
      </c>
      <c r="B50" s="6" t="s">
        <v>1452</v>
      </c>
      <c r="C50" s="12" t="s">
        <v>1453</v>
      </c>
      <c r="D50" s="12" t="s">
        <v>1454</v>
      </c>
    </row>
    <row r="51" customFormat="false" ht="15" hidden="false" customHeight="false" outlineLevel="0" collapsed="false">
      <c r="A51" s="7" t="s">
        <v>31</v>
      </c>
      <c r="B51" s="6" t="s">
        <v>1455</v>
      </c>
      <c r="C51" s="12" t="s">
        <v>1456</v>
      </c>
      <c r="D51" s="12" t="s">
        <v>1457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2026-08-18T07:20:35Z</dcterms:created>
  <dc:creator>openpyxl</dc:creator>
  <dc:description/>
  <dc:language>en-US</dc:language>
  <cp:lastModifiedBy/>
  <dcterms:modified xsi:type="dcterms:W3CDTF">2026-08-18T07:20:35Z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