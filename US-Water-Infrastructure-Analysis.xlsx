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Forward Model" sheetId="3" state="visible" r:id="rId5"/>
    <sheet name="Scenarios" sheetId="4" state="visible" r:id="rId6"/>
    <sheet name="Historical Spending" sheetId="5" state="visible" r:id="rId7"/>
    <sheet name="Federal Programs" sheetId="6" state="visible" r:id="rId8"/>
    <sheet name="Needs Estimates" sheetId="7" state="visible" r:id="rId9"/>
    <sheet name="Pipe and Assets" sheetId="8" state="visible" r:id="rId10"/>
    <sheet name="Regulatory" sheetId="9" state="visible" r:id="rId11"/>
    <sheet name="Core and Main" sheetId="10" state="visible" r:id="rId12"/>
    <sheet name="Ferguson" sheetId="11" state="visible" r:id="rId13"/>
    <sheet name="Comparison" sheetId="12" state="visible" r:id="rId14"/>
    <sheet name="Dashboard" sheetId="13" state="visible" r:id="rId15"/>
    <sheet name="Asset Data Sources" sheetId="14" state="visible" r:id="rId16"/>
    <sheet name="Annual" sheetId="15" state="visible" r:id="rId17"/>
    <sheet name="Quarterly" sheetId="16" state="visible" r:id="rId18"/>
    <sheet name="Series Links" sheetId="17" state="visible" r:id="rId19"/>
    <sheet name="Evidence and Monitor" sheetId="18" state="visible" r:id="rId20"/>
    <sheet name="Sources" sheetId="19" state="visible" r:id="rId21"/>
  </sheets>
  <definedNames>
    <definedName function="false" hidden="true" localSheetId="14" name="_xlnm._FilterDatabase" vbProcedure="false">Annual!$A$47:$K$108</definedName>
    <definedName function="false" hidden="true" localSheetId="15" name="_xlnm._FilterDatabase" vbProcedure="false">Quarterly!$A$5:$L$25</definedName>
    <definedName function="false" hidden="true" localSheetId="16" name="_xlnm._FilterDatabase" vbProcedure="false">'Series Links'!$A$7:$H$30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<sst xmlns="http://schemas.openxmlformats.org/spreadsheetml/2006/main" count="2738" uniqueCount="1541">
  <si>
    <t xml:space="preserve">US Water Infrastructure — Analysis Workbook</t>
  </si>
  <si>
    <t xml:space="preserve">Historical spending · forward budget model · technical drivers · Core &amp; Main and Ferguson</t>
  </si>
  <si>
    <t xml:space="preserve">What this workbook contains</t>
  </si>
  <si>
    <t xml:space="preserve">A quantitative companion to the written analysis. Nineteen tabs covering who funds US water infrastructure, what annual spend should look like through 2035, the engineering evidence for replacement, where the underlying asset data actually lives, the full downloaded time series, and how it all flows through to the two listed distributors with direct exposure.</t>
  </si>
  <si>
    <t xml:space="preserve">Tab</t>
  </si>
  <si>
    <t xml:space="preserve">What it holds</t>
  </si>
  <si>
    <t xml:space="preserve">Formula-driven?</t>
  </si>
  <si>
    <t xml:space="preserve">Dashboard</t>
  </si>
  <si>
    <t xml:space="preserve">Headline figures pulled from the other tabs</t>
  </si>
  <si>
    <t xml:space="preserve">Yes — all links</t>
  </si>
  <si>
    <t xml:space="preserve">Assumptions</t>
  </si>
  <si>
    <t xml:space="preserve">Every model input in one place. THIS IS THE TAB TO EDIT.</t>
  </si>
  <si>
    <t xml:space="preserve">Inputs (blue/yellow)</t>
  </si>
  <si>
    <t xml:space="preserve">Forward Model</t>
  </si>
  <si>
    <t xml:space="preserve">National water capital spending build-up, 2026–2035</t>
  </si>
  <si>
    <t xml:space="preserve">Yes</t>
  </si>
  <si>
    <t xml:space="preserve">Scenarios</t>
  </si>
  <si>
    <t xml:space="preserve">Bear / base / bull, driven off the Assumptions levers</t>
  </si>
  <si>
    <t xml:space="preserve">Historical Spending</t>
  </si>
  <si>
    <t xml:space="preserve">CBO 1956–2023 series, Census construction, local capital</t>
  </si>
  <si>
    <t xml:space="preserve">Partly</t>
  </si>
  <si>
    <t xml:space="preserve">Federal Programs</t>
  </si>
  <si>
    <t xml:space="preserve">SRF, IIJA, WIFIA, earmarks, WRDA 2026</t>
  </si>
  <si>
    <t xml:space="preserve">Needs Estimates</t>
  </si>
  <si>
    <t xml:space="preserve">The four published studies, annualised and reconciled</t>
  </si>
  <si>
    <t xml:space="preserve">Pipe and Assets</t>
  </si>
  <si>
    <t xml:space="preserve">USU break rates, miles by material, asset inventory</t>
  </si>
  <si>
    <t xml:space="preserve">Regulatory</t>
  </si>
  <si>
    <t xml:space="preserve">Lead &amp; Copper Rule Improvements, PFAS, CSO consent decrees</t>
  </si>
  <si>
    <t xml:space="preserve">Core and Main</t>
  </si>
  <si>
    <t xml:space="preserve">Five-year P&amp;L, end-market mix, guidance, derived metrics</t>
  </si>
  <si>
    <t xml:space="preserve">Ferguson</t>
  </si>
  <si>
    <t xml:space="preserve">Eight-year P&amp;L, US customer groups, waterworks estimate</t>
  </si>
  <si>
    <t xml:space="preserve">Comparison</t>
  </si>
  <si>
    <t xml:space="preserve">Side by side plus revenue sensitivity to market growth</t>
  </si>
  <si>
    <t xml:space="preserve">Asset Data Sources</t>
  </si>
  <si>
    <t xml:space="preserve">Where pipe installation year and repair history exist in the public record</t>
  </si>
  <si>
    <t xml:space="preserve">No</t>
  </si>
  <si>
    <t xml:space="preserve">Annual</t>
  </si>
  <si>
    <t xml:space="preserve">Full annual history for both companies plus 74 macro series with sources</t>
  </si>
  <si>
    <t xml:space="preserve">Quarterly</t>
  </si>
  <si>
    <t xml:space="preserve">Every reported quarter for both companies, with cross-foot checks</t>
  </si>
  <si>
    <t xml:space="preserve">Series Links</t>
  </si>
  <si>
    <t xml:space="preserve">Direct download endpoints for every series — FRED CSV, portals, primary docs</t>
  </si>
  <si>
    <t xml:space="preserve">Evidence and Monitor</t>
  </si>
  <si>
    <t xml:space="preserve">Management quotations with independent checks, ranked monitoring list, falsification tests</t>
  </si>
  <si>
    <t xml:space="preserve">Sources</t>
  </si>
  <si>
    <t xml:space="preserve">Every source with its known interest or bias</t>
  </si>
  <si>
    <t xml:space="preserve">Colour legend</t>
  </si>
  <si>
    <t xml:space="preserve">Format</t>
  </si>
  <si>
    <t xml:space="preserve">Meaning</t>
  </si>
  <si>
    <t xml:space="preserve">Example</t>
  </si>
  <si>
    <t xml:space="preserve">Blue text</t>
  </si>
  <si>
    <t xml:space="preserve">Hardcoded input — safe to change</t>
  </si>
  <si>
    <t xml:space="preserve">68.0</t>
  </si>
  <si>
    <t xml:space="preserve">Black text</t>
  </si>
  <si>
    <t xml:space="preserve">Formula — do not overwrite</t>
  </si>
  <si>
    <t xml:space="preserve">SUM(B2:B9)</t>
  </si>
  <si>
    <t xml:space="preserve">Green text</t>
  </si>
  <si>
    <t xml:space="preserve">Link to another tab in this workbook</t>
  </si>
  <si>
    <t xml:space="preserve">'Assumptions'!B5</t>
  </si>
  <si>
    <t xml:space="preserve">Yellow fill</t>
  </si>
  <si>
    <t xml:space="preserve">Key assumption the reader should review</t>
  </si>
  <si>
    <t xml:space="preserve">growth rate</t>
  </si>
  <si>
    <t xml:space="preserve">Method and provenance</t>
  </si>
  <si>
    <t xml:space="preserve">Company financials, segment mix, guidance and management quotations: sourced from Quartr — primary earnings releases, investor presentations and call transcripts. Core &amp; Main Q1 FY2026 (10 Jun 2026) and FY2025 results (24 Mar 2026); Ferguson Q2 CY2026 (10 Aug 2026) and CY2025 transition period (24 Feb 2026).</t>
  </si>
  <si>
    <t xml:space="preserve">Public spending and technical data: CBO, US Census Bureau, Congressional Research Service, EPA, EPA Office of Inspector General, GAO, USGS, ASCE, AWWA, Utah State University and Bluefield Research. Each figure is attributed on its own row.</t>
  </si>
  <si>
    <t xml:space="preserve">Derived figures are computed by formula from cited inputs, never typed as results. Where a number is an estimate rather than a reported figure it is labelled ESTIMATE on its row.</t>
  </si>
  <si>
    <t xml:space="preserve">Caveats that belong on the front page</t>
  </si>
  <si>
    <t xml:space="preserve">DATA ACCESS. This workbook was assembled in an environment whose network policy blocked direct retrieval from cbo.gov, epa.gov, census.gov, congress.gov, fred.stlouisfed.org and infrastructurereportcard.org. Public-sector figures were obtained via search results summarising those primary documents. Attributions are to the correct primary source, but VERIFY EACH HEADLINE NUMBER against the source document before relying on it for an investment decision. Company financials do not carry this caveat — they came from Quartr's primary filings.</t>
  </si>
  <si>
    <t xml:space="preserve">THE CAPITAL BASE. The $68bn 2026 base on the Assumptions tab is a reconciliation of four independent sources, not a single reported figure — see the Needs Estimates tab for the derivation. An earlier draft of this analysis used $88bn, which was Census construction put in place; that series bundles solid waste with sewerage and includes private work, and overstates water capital spending by roughly 30%.</t>
  </si>
  <si>
    <t xml:space="preserve">NO VALUATION. This workbook contains no valuation, no price target and no recommendation. It sizes a market, models its trajectory, and tests the engineering claims underneath it.</t>
  </si>
  <si>
    <t xml:space="preserve">Built August 2026.</t>
  </si>
  <si>
    <t xml:space="preserve">Blue = editable input. Every model figure elsewhere in this workbook resolves back to this tab.</t>
  </si>
  <si>
    <t xml:space="preserve">Core model inputs</t>
  </si>
  <si>
    <t xml:space="preserve">Input</t>
  </si>
  <si>
    <t xml:space="preserve">Value</t>
  </si>
  <si>
    <t xml:space="preserve">Unit</t>
  </si>
  <si>
    <t xml:space="preserve">Basis</t>
  </si>
  <si>
    <t xml:space="preserve">National water capital spending, 2026</t>
  </si>
  <si>
    <t xml:space="preserve">$bn</t>
  </si>
  <si>
    <t xml:space="preserve">Reconciliation of four sources — see Needs Estimates tab. CBO water utilities capital $59bn (2023) escalated; Census adjusted for solid-waste content; ASCE and AWWA implied.</t>
  </si>
  <si>
    <t xml:space="preserve">Organic growth rate, nominal</t>
  </si>
  <si>
    <t xml:space="preserve">% p.a.</t>
  </si>
  <si>
    <t xml:space="preserve">Bluefield treatment capex CAGR 4.4%; water and sewer rate growth ~5%.</t>
  </si>
  <si>
    <t xml:space="preserve">IIJA gross federal step-down</t>
  </si>
  <si>
    <t xml:space="preserve">$bn p.a.</t>
  </si>
  <si>
    <t xml:space="preserve">Annual SRF funding fell from ~$2.7bn (FY2021) to ~$11.4bn (FY2022-26) — National League of Cities.</t>
  </si>
  <si>
    <t xml:space="preserve">Less: permanent revolving offset</t>
  </si>
  <si>
    <t xml:space="preserve">ESTIMATE. ~50/50 grant vs loan split implies ~$25bn permanent SRF corpus supporting ongoing lending.</t>
  </si>
  <si>
    <t xml:space="preserve">Net steady-state IIJA drag</t>
  </si>
  <si>
    <t xml:space="preserve">Formula. The figure that actually leaves the system once revolving lending is netted off.</t>
  </si>
  <si>
    <t xml:space="preserve">  as % of the 2026 capital base</t>
  </si>
  <si>
    <t xml:space="preserve">%</t>
  </si>
  <si>
    <t xml:space="preserve">Formula. The honest measure of the funding cliff.</t>
  </si>
  <si>
    <t xml:space="preserve">Scenario levers</t>
  </si>
  <si>
    <t xml:space="preserve">Scenario</t>
  </si>
  <si>
    <t xml:space="preserve">Organic growth</t>
  </si>
  <si>
    <t xml:space="preserve">IIJA drag ($bn)</t>
  </si>
  <si>
    <t xml:space="preserve">Regulatory adder multiplier</t>
  </si>
  <si>
    <t xml:space="preserve">Bear</t>
  </si>
  <si>
    <t xml:space="preserve">Base</t>
  </si>
  <si>
    <t xml:space="preserve">Bull</t>
  </si>
  <si>
    <t xml:space="preserve">Bear: FY2027 House 16% SRF cut sustained, no WRDA reauthorisation, rate growth decelerates to 3%, LCRI struck down in part. Bull: WRDA 2026 appropriated in full, LCRI upheld, rate growth holds 5.5%.</t>
  </si>
  <si>
    <t xml:space="preserve">Year-indexed drivers</t>
  </si>
  <si>
    <t xml:space="preserve">Driver</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</si>
  <si>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</si>
  <si>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</si>
  <si>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</si>
  <si>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</si>
  <si>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</si>
  <si>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</si>
  <si>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</si>
  <si>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</si>
  <si>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</si>
  <si>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</si>
  <si>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IIJA drawdown phasing</t>
  </si>
  <si>
    <t xml:space="preserve">% of full effect</t>
  </si>
  <si>
    <t xml:space="preserve">Lead service line adder</t>
  </si>
  <si>
    <t xml:space="preserve">PFAS adder</t>
  </si>
  <si>
    <t xml:space="preserve">Phasing: only about a third of the ~$50bn IIJA water money had reached municipalities by mid-2026 (Core &amp; Main, Q1 FY2026 call), so the drawdown lands across 2027-2030 rather than at expiry.</t>
  </si>
  <si>
    <t xml:space="preserve">Lead adder: 9.2m lines at $4,700-$6,930 each (EPA) over the LCRI ten-year window, net of the $15bn of dedicated IIJA funding already inside the base.</t>
  </si>
  <si>
    <t xml:space="preserve">PFAS adder: incremental capital and O&amp;M above base. EPA's 18 May 2026 proposal retains only PFOA and PFOS and would slip compliance to 2031, so spend shifts right and the peak is lower than the 2024 six-compound rule implied.</t>
  </si>
  <si>
    <t xml:space="preserve">Forward Model — National Water Capital Spending</t>
  </si>
  <si>
    <t xml:space="preserve">$bn nominal. Every cell is a formula off the Assumptions tab.</t>
  </si>
  <si>
    <t xml:space="preserve">Line</t>
  </si>
  <si>
    <t xml:space="preserve">Organic base</t>
  </si>
  <si>
    <t xml:space="preserve">grows at assumed rate</t>
  </si>
  <si>
    <t xml:space="preserve">IIJA drawdown</t>
  </si>
  <si>
    <t xml:space="preserve">net drag x phasing</t>
  </si>
  <si>
    <t xml:space="preserve">Lead service lines</t>
  </si>
  <si>
    <t xml:space="preserve">regulatory adder</t>
  </si>
  <si>
    <t xml:space="preserve">PFAS</t>
  </si>
  <si>
    <t xml:space="preserve">Total capital spending</t>
  </si>
  <si>
    <t xml:space="preserve">sum</t>
  </si>
  <si>
    <t xml:space="preserve">  year on year</t>
  </si>
  <si>
    <t xml:space="preserve">growth</t>
  </si>
  <si>
    <t xml:space="preserve">Summary</t>
  </si>
  <si>
    <t xml:space="preserve">Metric</t>
  </si>
  <si>
    <t xml:space="preserve">Note</t>
  </si>
  <si>
    <t xml:space="preserve">Cumulative spend 2027-2035 ($bn)</t>
  </si>
  <si>
    <t xml:space="preserve">Base case. Sits between the escalated EPA survey floor and the ASCE/AWWA ceiling.</t>
  </si>
  <si>
    <t xml:space="preserve">CAGR 2026-2035</t>
  </si>
  <si>
    <t xml:space="preserve">Mid-single-digit nominal. Not a boom, not a bust.</t>
  </si>
  <si>
    <t xml:space="preserve">Trough growth year</t>
  </si>
  <si>
    <t xml:space="preserve">Where the federal drawdown concentrates.</t>
  </si>
  <si>
    <t xml:space="preserve">Trough growth rate</t>
  </si>
  <si>
    <t xml:space="preserve">Even at the worst point, growth stays positive.</t>
  </si>
  <si>
    <t xml:space="preserve">Reading: the federal drawdown costs roughly one to one and a half percentage points of market growth in the 2029-2030 window, and nothing thereafter. There is no credible scenario in which national water capital spending falls in nominal terms.</t>
  </si>
  <si>
    <t xml:space="preserve">Bear / base / bull, each driven off its own row of levers on the Assumptions tab.</t>
  </si>
  <si>
    <t xml:space="preserve">Levers</t>
  </si>
  <si>
    <t xml:space="preserve">g / drag / adder</t>
  </si>
  <si>
    <t xml:space="preserve">Spread</t>
  </si>
  <si>
    <t xml:space="preserve">Bull less bear ($bn)</t>
  </si>
  <si>
    <t xml:space="preserve">range</t>
  </si>
  <si>
    <t xml:space="preserve">  as % of bear</t>
  </si>
  <si>
    <t xml:space="preserve">Scenario endpoints</t>
  </si>
  <si>
    <t xml:space="preserve">2030 ($bn)</t>
  </si>
  <si>
    <t xml:space="preserve">2035 ($bn)</t>
  </si>
  <si>
    <t xml:space="preserve">CAGR 2026-35</t>
  </si>
  <si>
    <t xml:space="preserve">The bear-to-bull spread by 2035 is the honest measure of confidence in this forecast. The direction, however, is up in every case — the disagreement is about pace, not sign.</t>
  </si>
  <si>
    <t xml:space="preserve">Who actually pays for US water infrastructure.</t>
  </si>
  <si>
    <t xml:space="preserve">CBO — public spending on transportation and water infrastructure, 2023</t>
  </si>
  <si>
    <t xml:space="preserve">Share</t>
  </si>
  <si>
    <t xml:space="preserve">Source</t>
  </si>
  <si>
    <t xml:space="preserve">Total, all transportation and water infrastructure</t>
  </si>
  <si>
    <t xml:space="preserve">CBO, Public Spending on Transportation and Water Infrastructure 1956-2023, Feb 2025</t>
  </si>
  <si>
    <t xml:space="preserve">  as % of GDP</t>
  </si>
  <si>
    <t xml:space="preserve">CBO</t>
  </si>
  <si>
    <t xml:space="preserve">Water utilities — total spending</t>
  </si>
  <si>
    <t xml:space="preserve">CBO via USAFacts. Water utilities take ~28% of the total.</t>
  </si>
  <si>
    <t xml:space="preserve">  of which capital</t>
  </si>
  <si>
    <t xml:space="preserve">CBO. THIS IS THE ANCHOR FOR THE FORWARD MODEL BASE.</t>
  </si>
  <si>
    <t xml:space="preserve">  of which operations and maintenance</t>
  </si>
  <si>
    <t xml:space="preserve">CBO. O&amp;M is the majority — capital is the minority of utility spending.</t>
  </si>
  <si>
    <t xml:space="preserve">State and local share of water infrastructure</t>
  </si>
  <si>
    <t xml:space="preserve">CBO. Rises to ~96% on the narrower water supply and wastewater facilities definition.</t>
  </si>
  <si>
    <t xml:space="preserve">Federal share of water infrastructure</t>
  </si>
  <si>
    <t xml:space="preserve">O&amp;M as % of all public infrastructure spending</t>
  </si>
  <si>
    <t xml:space="preserve">CBO — $355bn of $625.8bn in 2023. Rising over time.</t>
  </si>
  <si>
    <t xml:space="preserve">State and local share of ALL public infrastructure</t>
  </si>
  <si>
    <t xml:space="preserve">CBO — $494.2bn of $625.8bn in 2023.</t>
  </si>
  <si>
    <t xml:space="preserve">Census Bureau — value of construction put in place (C30)</t>
  </si>
  <si>
    <t xml:space="preserve">Category</t>
  </si>
  <si>
    <t xml:space="preserve">Source and caveat</t>
  </si>
  <si>
    <t xml:space="preserve">Water supply — total construction</t>
  </si>
  <si>
    <t xml:space="preserve">SAAR Jan-2026</t>
  </si>
  <si>
    <t xml:space="preserve">Census C30. Includes private work.</t>
  </si>
  <si>
    <t xml:space="preserve">Water supply — public construction</t>
  </si>
  <si>
    <t xml:space="preserve">Census C30 / FRED PBWSCONS</t>
  </si>
  <si>
    <t xml:space="preserve">Sewage and waste disposal — total</t>
  </si>
  <si>
    <t xml:space="preserve">Census C30. CAUTION: bundles SOLID WASTE facilities with sewerage — overstates wastewater.</t>
  </si>
  <si>
    <t xml:space="preserve">Sewage and waste disposal — public</t>
  </si>
  <si>
    <t xml:space="preserve">Census C30</t>
  </si>
  <si>
    <t xml:space="preserve">Naive sum (both categories, total construction)</t>
  </si>
  <si>
    <t xml:space="preserve">formula</t>
  </si>
  <si>
    <t xml:space="preserve">This is the $88bn figure an earlier draft used as the capital base. It is NOT water capital spending — see the reconciliation on the Needs Estimates tab.</t>
  </si>
  <si>
    <t xml:space="preserve">Longer-run local capital spending</t>
  </si>
  <si>
    <t xml:space="preserve">Period</t>
  </si>
  <si>
    <t xml:space="preserve">Local capital spending — sewer, cumulative</t>
  </si>
  <si>
    <t xml:space="preserve">2012-2024</t>
  </si>
  <si>
    <t xml:space="preserve">US Conference of Mayors, 2025 Public Infrastructure Spending</t>
  </si>
  <si>
    <t xml:space="preserve">  annual average</t>
  </si>
  <si>
    <t xml:space="preserve">Local government only</t>
  </si>
  <si>
    <t xml:space="preserve">Local capital spending — water supply, cumulative</t>
  </si>
  <si>
    <t xml:space="preserve">US Conference of Mayors</t>
  </si>
  <si>
    <t xml:space="preserve">All public community-asset capital spending, 2012</t>
  </si>
  <si>
    <t xml:space="preserve">2012</t>
  </si>
  <si>
    <t xml:space="preserve">All public community-asset capital spending, 2024</t>
  </si>
  <si>
    <t xml:space="preserve">2024</t>
  </si>
  <si>
    <t xml:space="preserve">  growth 2012-2024</t>
  </si>
  <si>
    <t xml:space="preserve">+76%</t>
  </si>
  <si>
    <t xml:space="preserve">The real funding engine — rates, debt and water loss</t>
  </si>
  <si>
    <t xml:space="preserve">Water and sewer bill increase</t>
  </si>
  <si>
    <t xml:space="preserve">2025</t>
  </si>
  <si>
    <t xml:space="preserve">Bluefield Research, US Municipal Water &amp; Sewer Rate Index (50 cities)</t>
  </si>
  <si>
    <t xml:space="preserve">  cumulative five-year increase</t>
  </si>
  <si>
    <t xml:space="preserve">2020-2025</t>
  </si>
  <si>
    <t xml:space="preserve">Bluefield Research</t>
  </si>
  <si>
    <t xml:space="preserve">  water rates</t>
  </si>
  <si>
    <t xml:space="preserve">2024-25</t>
  </si>
  <si>
    <t xml:space="preserve">  wastewater rates</t>
  </si>
  <si>
    <t xml:space="preserve">Water and sewer bond issuance</t>
  </si>
  <si>
    <t xml:space="preserve">2010 low</t>
  </si>
  <si>
    <t xml:space="preserve">Historical reference range</t>
  </si>
  <si>
    <t xml:space="preserve">  upper end of range</t>
  </si>
  <si>
    <t xml:space="preserve">2013 high</t>
  </si>
  <si>
    <t xml:space="preserve">Non-revenue water — share of treated supply</t>
  </si>
  <si>
    <t xml:space="preserve">current</t>
  </si>
  <si>
    <t xml:space="preserve">  volume lost daily</t>
  </si>
  <si>
    <t xml:space="preserve">bn gallons/day</t>
  </si>
  <si>
    <t xml:space="preserve">  lost revenue</t>
  </si>
  <si>
    <t xml:space="preserve">A single year of national rate increases generates more incremental utility spending capacity than the entire annual IIJA water supplemental. This is the variable that matters most for distributor revenue, and it is the one least discussed.</t>
  </si>
  <si>
    <t xml:space="preserve">Four federal channels. Only one is large, and it expires 30 September 2026.</t>
  </si>
  <si>
    <t xml:space="preserve">State Revolving Funds — appropriations</t>
  </si>
  <si>
    <t xml:space="preserve">Item</t>
  </si>
  <si>
    <t xml:space="preserve">Total annual SRF funding, pre-IIJA</t>
  </si>
  <si>
    <t xml:space="preserve">FY2021</t>
  </si>
  <si>
    <t xml:space="preserve">National League of Cities</t>
  </si>
  <si>
    <t xml:space="preserve">Total annual SRF funding, with IIJA</t>
  </si>
  <si>
    <t xml:space="preserve">FY2022-26 avg</t>
  </si>
  <si>
    <t xml:space="preserve">National League of Cities — a ~4x step up</t>
  </si>
  <si>
    <t xml:space="preserve">Clean Water SRF — total available</t>
  </si>
  <si>
    <t xml:space="preserve">CRS</t>
  </si>
  <si>
    <t xml:space="preserve">Clean Water SRF — regular appropriation</t>
  </si>
  <si>
    <t xml:space="preserve">FY2025</t>
  </si>
  <si>
    <t xml:space="preserve">Clean Water SRF — IIJA supplemental</t>
  </si>
  <si>
    <t xml:space="preserve">Drinking Water SRF — regular appropriation</t>
  </si>
  <si>
    <t xml:space="preserve">Drinking Water SRF — IIJA supplemental</t>
  </si>
  <si>
    <t xml:space="preserve">EPA water infrastructure programs — total</t>
  </si>
  <si>
    <t xml:space="preserve">FY2026</t>
  </si>
  <si>
    <t xml:space="preserve">P.L. 119-74, same as FY2025 enacted (P.L. 119-4)</t>
  </si>
  <si>
    <t xml:space="preserve">Regular appropriations for EPA water infrastructure programs have been FLAT across FY2024, FY2025 and FY2026. All growth in the period came from the IIJA supplemental.</t>
  </si>
  <si>
    <t xml:space="preserve">IIJA / Bipartisan Infrastructure Law supplemental — expiring</t>
  </si>
  <si>
    <t xml:space="preserve">Pot</t>
  </si>
  <si>
    <t xml:space="preserve">Amount</t>
  </si>
  <si>
    <t xml:space="preserve">Clean Water SRF general supplemental</t>
  </si>
  <si>
    <t xml:space="preserve">FY2022-26</t>
  </si>
  <si>
    <t xml:space="preserve">Predominantly loans</t>
  </si>
  <si>
    <t xml:space="preserve">Drinking Water SRF general supplemental</t>
  </si>
  <si>
    <t xml:space="preserve">DWSRF — lead service line replacement</t>
  </si>
  <si>
    <t xml:space="preserve">High principal-forgiveness requirement</t>
  </si>
  <si>
    <t xml:space="preserve">DWSRF — emerging contaminants (PFAS)</t>
  </si>
  <si>
    <t xml:space="preserve">Grant-like for disadvantaged communities</t>
  </si>
  <si>
    <t xml:space="preserve">Other pots (CWSRF emerging contaminants etc.)</t>
  </si>
  <si>
    <t xml:space="preserve">Balance to the &gt;$50bn headline</t>
  </si>
  <si>
    <t xml:space="preserve">Total IIJA water supplemental</t>
  </si>
  <si>
    <t xml:space="preserve">EPA states 'over $50 billion'. Expires 30 September 2026.</t>
  </si>
  <si>
    <t xml:space="preserve">The cliff arithmetic</t>
  </si>
  <si>
    <t xml:space="preserve">Step</t>
  </si>
  <si>
    <t xml:space="preserve">Reasoning</t>
  </si>
  <si>
    <t xml:space="preserve">1. Gross federal step-down</t>
  </si>
  <si>
    <t xml:space="preserve">$11.4bn (FY22-26) less $2.7bn (FY21)</t>
  </si>
  <si>
    <t xml:space="preserve">Formula</t>
  </si>
  <si>
    <t xml:space="preserve">2. Share not yet at municipality level</t>
  </si>
  <si>
    <t xml:space="preserve">Core &amp; Main, Q1 FY2026 call: 'only about a third or less of it has hit the municipality level yet'</t>
  </si>
  <si>
    <t xml:space="preserve">  dollars still to disburse</t>
  </si>
  <si>
    <t xml:space="preserve">Spreads the drawdown across 2027-2030 rather than at expiry</t>
  </si>
  <si>
    <t xml:space="preserve">3. Permanent revolving offset</t>
  </si>
  <si>
    <t xml:space="preserve">ESTIMATE. ~50/50 grant vs loan split; loans recycle into the state corpus</t>
  </si>
  <si>
    <t xml:space="preserve">4. Net steady-state drag</t>
  </si>
  <si>
    <t xml:space="preserve">The honest measure of the cliff — not the 100% often assumed</t>
  </si>
  <si>
    <t xml:space="preserve">WIFIA, earmarks and reauthorisation</t>
  </si>
  <si>
    <t xml:space="preserve">As at</t>
  </si>
  <si>
    <t xml:space="preserve">WIFIA — cumulative financing closed</t>
  </si>
  <si>
    <t xml:space="preserve">May 2026</t>
  </si>
  <si>
    <t xml:space="preserve">152 closed loans</t>
  </si>
  <si>
    <t xml:space="preserve">WIFIA — total project value supported</t>
  </si>
  <si>
    <t xml:space="preserve">Leverage, not subsidy</t>
  </si>
  <si>
    <t xml:space="preserve">WIFIA — capacity still available</t>
  </si>
  <si>
    <t xml:space="preserve">EPA waiving fees for small communities</t>
  </si>
  <si>
    <t xml:space="preserve">WIFIA — FY2025 closings</t>
  </si>
  <si>
    <t xml:space="preserve">8 loans</t>
  </si>
  <si>
    <t xml:space="preserve">WIFIA — 2026 year-to-date closings</t>
  </si>
  <si>
    <t xml:space="preserve">early 2026</t>
  </si>
  <si>
    <t xml:space="preserve">3 loans</t>
  </si>
  <si>
    <t xml:space="preserve">FY2027 House bill — proposed SRF cut</t>
  </si>
  <si>
    <t xml:space="preserve">FY2027</t>
  </si>
  <si>
    <t xml:space="preserve">Committee markup, June 2026</t>
  </si>
  <si>
    <t xml:space="preserve">FY2027 DWSRF proposed level</t>
  </si>
  <si>
    <t xml:space="preserve">Down from $1.126bn in FY2026</t>
  </si>
  <si>
    <t xml:space="preserve">FY2027 earmarks — water projects</t>
  </si>
  <si>
    <t xml:space="preserve">~1,200 projects, carved OUT of SRF not added to it</t>
  </si>
  <si>
    <t xml:space="preserve">WRDA 2026 — CWSRF authorisation</t>
  </si>
  <si>
    <t xml:space="preserve">over 4 yrs</t>
  </si>
  <si>
    <t xml:space="preserve">Senate EPW text, 13 July 2026. AUTHORISATION, not appropriation.</t>
  </si>
  <si>
    <t xml:space="preserve">WRDA 2026 — DWSRF authorisation</t>
  </si>
  <si>
    <t xml:space="preserve">over 5 yrs</t>
  </si>
  <si>
    <t xml:space="preserve">$3.3bn/yr — triple current appropriations but BELOW the FY22-26 run-rate</t>
  </si>
  <si>
    <t xml:space="preserve">WRDA 2026 — WIFIA authorisation</t>
  </si>
  <si>
    <t xml:space="preserve">through FY2030</t>
  </si>
  <si>
    <t xml:space="preserve">Senate EPW</t>
  </si>
  <si>
    <t xml:space="preserve">Needs Estimates and the Capital Base</t>
  </si>
  <si>
    <t xml:space="preserve">The four published studies disagree by 3x because they measure different things.</t>
  </si>
  <si>
    <t xml:space="preserve">Study</t>
  </si>
  <si>
    <t xml:space="preserve">Headline</t>
  </si>
  <si>
    <t xml:space="preserve">Annualised ($bn)</t>
  </si>
  <si>
    <t xml:space="preserve">What it measures / whose interest</t>
  </si>
  <si>
    <t xml:space="preserve">EPA 7th DWINSA (Sep 2023)</t>
  </si>
  <si>
    <t xml:space="preserve">$bn / 20yr</t>
  </si>
  <si>
    <t xml:space="preserve">SRF-ELIGIBLE drinking water projects, self-reported by states. Jan-2021 dollars; $648.8bn in 2022 dollars per CRS. Allocation instrument — states self-report into their own funding formula.</t>
  </si>
  <si>
    <t xml:space="preserve">EPA CWNS 2022 (Apr 2024)</t>
  </si>
  <si>
    <t xml:space="preserve">SRF-ELIGIBLE clean water needs with documentation. +73% vs 2012, but first survey with 100% state participation — which mechanically inflates the increase.</t>
  </si>
  <si>
    <t xml:space="preserve">ASCE Bridging the Gap (2024)</t>
  </si>
  <si>
    <t xml:space="preserve">$bn/yr gap</t>
  </si>
  <si>
    <t xml:space="preserve">Annualised column = gap + actual spend. Full economic need incl. resilience and growth, from the civil engineers' professional society. Up from $81bn in 2021. NOTE: ASCE separately reports wastewater+stormwater annual capital NEEDS of $99bn with a $69bn gap — the same headline number used two different ways. Route 3 of the base reconciliation uses the latter.</t>
  </si>
  <si>
    <t xml:space="preserve">AWWA Beyond the Replacement Era (Mar 2026)</t>
  </si>
  <si>
    <t xml:space="preserve">$bn / 25yr</t>
  </si>
  <si>
    <t xml:space="preserve">Drinking water ONLY. Replacement + PFAS + lead + climate + cyber + O&amp;M. Midpoint of $2.1-2.4tn (2025 dollars). Utility trade association; requires a 168% increase in annual capital investment.</t>
  </si>
  <si>
    <t xml:space="preserve">EPA surveys — combined and escalated</t>
  </si>
  <si>
    <t xml:space="preserve">Combined annualised eligible need</t>
  </si>
  <si>
    <t xml:space="preserve">$bn/yr</t>
  </si>
  <si>
    <t xml:space="preserve">2021/2022 dollars, un-escalated</t>
  </si>
  <si>
    <t xml:space="preserve">Construction cost escalation</t>
  </si>
  <si>
    <t xml:space="preserve">Assumed</t>
  </si>
  <si>
    <t xml:space="preserve">Years to escalate</t>
  </si>
  <si>
    <t xml:space="preserve">yrs</t>
  </si>
  <si>
    <t xml:space="preserve">Mid-2021/22 base to 2026</t>
  </si>
  <si>
    <t xml:space="preserve">Escalated eligible need, 2026 dollars</t>
  </si>
  <si>
    <t xml:space="preserve">Reconciling the capital base — four independent routes to the same number</t>
  </si>
  <si>
    <t xml:space="preserve">Route</t>
  </si>
  <si>
    <t xml:space="preserve">Derivation</t>
  </si>
  <si>
    <t xml:space="preserve">1. CBO water utilities capital, 2023</t>
  </si>
  <si>
    <t xml:space="preserve">CBO. Public sector, water supply and wastewater.</t>
  </si>
  <si>
    <t xml:space="preserve">   escalated to 2026 at 4.5% p.a.</t>
  </si>
  <si>
    <t xml:space="preserve">2. Census water supply (total construction)</t>
  </si>
  <si>
    <t xml:space="preserve">Census C30, SAAR Jan-2026</t>
  </si>
  <si>
    <t xml:space="preserve">   Census sewage and waste disposal</t>
  </si>
  <si>
    <t xml:space="preserve">   assumed sewerage share of that category</t>
  </si>
  <si>
    <t xml:space="preserve">ESTIMATE. The rest is solid waste disposal — landfill, waste-to-energy.</t>
  </si>
  <si>
    <t xml:space="preserve">   adjusted total, public share (95%)</t>
  </si>
  <si>
    <t xml:space="preserve">3. ASCE implied wastewater + stormwater actual</t>
  </si>
  <si>
    <t xml:space="preserve">ASCE: annual capital needs $99bn, gap $69bn, so ~30% of needs met.</t>
  </si>
  <si>
    <t xml:space="preserve">4. AWWA implied drinking water actual</t>
  </si>
  <si>
    <t xml:space="preserve">AWWA requires a 168% increase to reach its target, so current spend is target / 2.68.</t>
  </si>
  <si>
    <t xml:space="preserve">   routes 3 + 4 combined</t>
  </si>
  <si>
    <t xml:space="preserve">Average of routes 1 and 2 (primary)</t>
  </si>
  <si>
    <t xml:space="preserve">The two strongest routes: a non-partisan scorekeeper and official construction statistics.</t>
  </si>
  <si>
    <t xml:space="preserve">Average of all three routes</t>
  </si>
  <si>
    <t xml:space="preserve">Routes 3 and 4 are weaker — both read advocacy claims backwards — and pull the average down.</t>
  </si>
  <si>
    <t xml:space="preserve">Implied range</t>
  </si>
  <si>
    <t xml:space="preserve">Low to high across the three routes.</t>
  </si>
  <si>
    <t xml:space="preserve">ADOPTED BASE</t>
  </si>
  <si>
    <t xml:space="preserve">Rounded to $68bn — the midpoint of the two primary routes. Sits at the upper end of the three-route range because routes 3 and 4 are derived from advocacy studies read in reverse and are the least reliable. Change it on the Assumptions tab to test the low end.</t>
  </si>
  <si>
    <t xml:space="preserve">  variance vs three-route average</t>
  </si>
  <si>
    <t xml:space="preserve">Formula. The model is ~2.5% above the most conservative reading of the base.</t>
  </si>
  <si>
    <t xml:space="preserve">Gap: escalated need less actual spend</t>
  </si>
  <si>
    <t xml:space="preserve">The documented, SRF-eligible shortfall — an order of magnitude below the ASCE headline.</t>
  </si>
  <si>
    <t xml:space="preserve">  as % of actual spend</t>
  </si>
  <si>
    <t xml:space="preserve">WHY THE FOUR STUDIES DIVERGE. The EPA surveys are floors by construction: they count only what states could document as eligible, and assume a 0.5%/yr pipe replacement rate — which imputes a 200-YEAR pipe life against an observed 53-year average failure age. The ASCE and AWWA figures are ceilings by construction, produced by parties that advocate for higher appropriations. The truth is bracketed, not split.</t>
  </si>
  <si>
    <t xml:space="preserve">Market-research forecasts (the view that maps to distributor revenue)</t>
  </si>
  <si>
    <t xml:space="preserve">Forecast</t>
  </si>
  <si>
    <t xml:space="preserve">US municipal water + wastewater treatment capex</t>
  </si>
  <si>
    <t xml:space="preserve">through 2035</t>
  </si>
  <si>
    <t xml:space="preserve">Bluefield Research — 4.4% CAGR</t>
  </si>
  <si>
    <t xml:space="preserve">  starting annual rate</t>
  </si>
  <si>
    <t xml:space="preserve">  ending annual rate</t>
  </si>
  <si>
    <t xml:space="preserve">  of which wastewater</t>
  </si>
  <si>
    <t xml:space="preserve">Bluefield Research — 58% of total</t>
  </si>
  <si>
    <t xml:space="preserve">  of which upgrades / rehab of existing assets</t>
  </si>
  <si>
    <t xml:space="preserve">Bluefield Research — 79%. The replacement thesis, quantified.</t>
  </si>
  <si>
    <t xml:space="preserve">US + Canada municipal pipe capex</t>
  </si>
  <si>
    <t xml:space="preserve">2026-2035</t>
  </si>
  <si>
    <t xml:space="preserve">Bluefield Research — ~$10bn/yr</t>
  </si>
  <si>
    <t xml:space="preserve">Pipe and Assets — the Engineering Evidence</t>
  </si>
  <si>
    <t xml:space="preserve">Utah State University, Water Main Break Rates in the USA and Canada, Dec 2023.</t>
  </si>
  <si>
    <t xml:space="preserve">Study scope</t>
  </si>
  <si>
    <t xml:space="preserve">Utilities surveyed</t>
  </si>
  <si>
    <t xml:space="preserve">count</t>
  </si>
  <si>
    <t xml:space="preserve">49 US states and all 10 Canadian provinces</t>
  </si>
  <si>
    <t xml:space="preserve">Population served by respondents</t>
  </si>
  <si>
    <t xml:space="preserve">&gt;30% of the US and Canada population</t>
  </si>
  <si>
    <t xml:space="preserve">Miles of main represented</t>
  </si>
  <si>
    <t xml:space="preserve">miles</t>
  </si>
  <si>
    <t xml:space="preserve">&gt;17% of the estimated 2.3m miles in both countries</t>
  </si>
  <si>
    <t xml:space="preserve">Publication date</t>
  </si>
  <si>
    <t xml:space="preserve">year</t>
  </si>
  <si>
    <t xml:space="preserve">Released Feb 2024 by USU's Utah Water Research Laboratory</t>
  </si>
  <si>
    <t xml:space="preserve">BIAS NOTE: the study is academic but distributed by pipe-manufacturer interests, and its material-by-material results favour PVC. It is also the best dataset available — and its finding that break rates FELL cuts against its own $452bn funding-gap headline.</t>
  </si>
  <si>
    <t xml:space="preserve">Break rates and material mix</t>
  </si>
  <si>
    <t xml:space="preserve">Material</t>
  </si>
  <si>
    <t xml:space="preserve">Breaks per 100 mi/yr</t>
  </si>
  <si>
    <t xml:space="preserve">Miles surveyed</t>
  </si>
  <si>
    <t xml:space="preserve">% of surveyed miles</t>
  </si>
  <si>
    <t xml:space="preserve">% over 50 yrs old</t>
  </si>
  <si>
    <t xml:space="preserve">Failure mechanism</t>
  </si>
  <si>
    <t xml:space="preserve">Cast iron</t>
  </si>
  <si>
    <t xml:space="preserve">Graphitic corrosion — iron matrix leaches away leaving a graphite skeleton that holds shape and pressure until it fails without warning. Plus tuberculation.</t>
  </si>
  <si>
    <t xml:space="preserve">Asbestos cement</t>
  </si>
  <si>
    <t xml:space="preserve">Cement matrix leaches from both faces; progressive wall-strength loss. Handling, worker-safety and disposal premiums on replacement.</t>
  </si>
  <si>
    <t xml:space="preserve">Steel</t>
  </si>
  <si>
    <t xml:space="preserve">External and internal corrosion; joint and weld failure.</t>
  </si>
  <si>
    <t xml:space="preserve">Ductile iron</t>
  </si>
  <si>
    <t xml:space="preserve">Corrosion where unprotected; polyethylene encasement materially extends life.</t>
  </si>
  <si>
    <t xml:space="preserve">PVC</t>
  </si>
  <si>
    <t xml:space="preserve">Low failure rate; failures typically installation-related or from impact/third-party damage.</t>
  </si>
  <si>
    <t xml:space="preserve">Total surveyed</t>
  </si>
  <si>
    <t xml:space="preserve">National average break rate</t>
  </si>
  <si>
    <t xml:space="preserve">Down from 14.0 in the 2018 study — a ~20% decline in five years.</t>
  </si>
  <si>
    <t xml:space="preserve">2018 study national average</t>
  </si>
  <si>
    <t xml:space="preserve">USU 2018</t>
  </si>
  <si>
    <t xml:space="preserve">Change 2018 to 2023</t>
  </si>
  <si>
    <t xml:space="preserve">THE COUNTER-EVIDENCE: the network is measurably getting MORE reliable, not less.</t>
  </si>
  <si>
    <t xml:space="preserve">Cast iron vs PVC failure ratio</t>
  </si>
  <si>
    <t xml:space="preserve">The single most defensible number in the replacement case.</t>
  </si>
  <si>
    <t xml:space="preserve">Asset inventory and condition</t>
  </si>
  <si>
    <t xml:space="preserve">Drinking water transmission and distribution mains</t>
  </si>
  <si>
    <t xml:space="preserve">EPA / ASCE</t>
  </si>
  <si>
    <t xml:space="preserve">Community water systems</t>
  </si>
  <si>
    <t xml:space="preserve">EPA — of 148,000+ public water systems total</t>
  </si>
  <si>
    <t xml:space="preserve">Public sewers</t>
  </si>
  <si>
    <t xml:space="preserve">ASCE — plus ~500,000 miles of private laterals</t>
  </si>
  <si>
    <t xml:space="preserve">Publicly owned treatment works</t>
  </si>
  <si>
    <t xml:space="preserve">EPA CWNS 2022 — serving 270.4m people, 82% of population</t>
  </si>
  <si>
    <t xml:space="preserve">POTW average utilisation of design capacity</t>
  </si>
  <si>
    <t xml:space="preserve">ASCE</t>
  </si>
  <si>
    <t xml:space="preserve">POTWs at or over design capacity</t>
  </si>
  <si>
    <t xml:space="preserve">Water mains over 50 years old</t>
  </si>
  <si>
    <t xml:space="preserve">USU 2023 — approximately 770,000 miles</t>
  </si>
  <si>
    <t xml:space="preserve">Water mains beyond useful life</t>
  </si>
  <si>
    <t xml:space="preserve">USU 2023 — approximately 452,000 miles</t>
  </si>
  <si>
    <t xml:space="preserve">Average age of failing water main</t>
  </si>
  <si>
    <t xml:space="preserve">years</t>
  </si>
  <si>
    <t xml:space="preserve">USU 2023</t>
  </si>
  <si>
    <t xml:space="preserve">Estimated cost to replace aging mains</t>
  </si>
  <si>
    <t xml:space="preserve">USU 2023, US and Canada</t>
  </si>
  <si>
    <t xml:space="preserve">Water main breaks per year</t>
  </si>
  <si>
    <t xml:space="preserve">USU 2023, US and Canada — one every two minutes</t>
  </si>
  <si>
    <t xml:space="preserve">Annual repair cost of those breaks</t>
  </si>
  <si>
    <t xml:space="preserve">Combined sewer communities</t>
  </si>
  <si>
    <t xml:space="preserve">EPA</t>
  </si>
  <si>
    <t xml:space="preserve">Untreated CSO discharge</t>
  </si>
  <si>
    <t xml:space="preserve">bn gallons/yr</t>
  </si>
  <si>
    <t xml:space="preserve">Implied average cost per break</t>
  </si>
  <si>
    <t xml:space="preserve">$</t>
  </si>
  <si>
    <t xml:space="preserve">Formula. Direct repair cost only — excludes boil-water notices, road closure and third-party damage.</t>
  </si>
  <si>
    <t xml:space="preserve">Demand — the evidence against capacity expansion</t>
  </si>
  <si>
    <t xml:space="preserve">Per capita withdrawal, 2000</t>
  </si>
  <si>
    <t xml:space="preserve">gal/capita/day</t>
  </si>
  <si>
    <t xml:space="preserve">2000</t>
  </si>
  <si>
    <t xml:space="preserve">USGS</t>
  </si>
  <si>
    <t xml:space="preserve">Per capita withdrawal, 2020</t>
  </si>
  <si>
    <t xml:space="preserve">2020</t>
  </si>
  <si>
    <t xml:space="preserve">Public-supply domestic per capita, 2010</t>
  </si>
  <si>
    <t xml:space="preserve">gal/day</t>
  </si>
  <si>
    <t xml:space="preserve">2010</t>
  </si>
  <si>
    <t xml:space="preserve">Public-supply domestic per capita, 2015</t>
  </si>
  <si>
    <t xml:space="preserve">2015</t>
  </si>
  <si>
    <t xml:space="preserve">Total US withdrawals, 2015</t>
  </si>
  <si>
    <t xml:space="preserve">bn gal/day</t>
  </si>
  <si>
    <t xml:space="preserve">USGS — down 9% from 2010</t>
  </si>
  <si>
    <t xml:space="preserve">Public-supply withdrawals fell even as population grew 4%. The sector's spending need is almost entirely RENEWAL, not expansion — which means capacity-expansion arguments outside data-centre and Sun Belt growth corridors are weak, and some existing infrastructure is oversized for current demand.</t>
  </si>
  <si>
    <t xml:space="preserve">Regulatory Drivers</t>
  </si>
  <si>
    <t xml:space="preserve">Legally dated obligations — the highest-conviction component of the forecast.</t>
  </si>
  <si>
    <t xml:space="preserve">Lead and Copper Rule Improvements</t>
  </si>
  <si>
    <t xml:space="preserve">Date / status</t>
  </si>
  <si>
    <t xml:space="preserve">National lead service lines</t>
  </si>
  <si>
    <t xml:space="preserve">EPA 7th DWINSA</t>
  </si>
  <si>
    <t xml:space="preserve">First-ever national count.</t>
  </si>
  <si>
    <t xml:space="preserve">EPA cost per line — low</t>
  </si>
  <si>
    <t xml:space="preserve">Utilities dispute as too low.</t>
  </si>
  <si>
    <t xml:space="preserve">EPA cost per line — high</t>
  </si>
  <si>
    <t xml:space="preserve">New York estimates up to $11,000.</t>
  </si>
  <si>
    <t xml:space="preserve">Implied national cost — low</t>
  </si>
  <si>
    <t xml:space="preserve">Consensus estimates cluster at $45-60bn.</t>
  </si>
  <si>
    <t xml:space="preserve">Implied national cost — high</t>
  </si>
  <si>
    <t xml:space="preserve">Dedicated IIJA funding</t>
  </si>
  <si>
    <t xml:space="preserve">Covers roughly a quarter to a third.</t>
  </si>
  <si>
    <t xml:space="preserve">Unfunded balance (midpoint)</t>
  </si>
  <si>
    <t xml:space="preserve">Must come from rates. This is the rate-driver, not the grant story.</t>
  </si>
  <si>
    <t xml:space="preserve">Baseline inventory / plan deadline</t>
  </si>
  <si>
    <t xml:space="preserve">1 November 2027</t>
  </si>
  <si>
    <t xml:space="preserve">Inventory, replacement plan, school and childcare list, updated sampling plan.</t>
  </si>
  <si>
    <t xml:space="preserve">Full replacement deadline</t>
  </si>
  <si>
    <t xml:space="preserve">2034-2037</t>
  </si>
  <si>
    <t xml:space="preserve">Ten years from compliance date, REGARDLESS of measured lead levels.</t>
  </si>
  <si>
    <t xml:space="preserve">Litigation</t>
  </si>
  <si>
    <t xml:space="preserve">Oral argument expected Fall 2026</t>
  </si>
  <si>
    <t xml:space="preserve">AWWA v. EPA — challenges mandated replacement of lines 'under the control' of the utility. THE LARGEST BINARY RISK IN THIS FORECAST.</t>
  </si>
  <si>
    <t xml:space="preserve">PFOA / PFOS maximum contaminant level</t>
  </si>
  <si>
    <t xml:space="preserve">ppt</t>
  </si>
  <si>
    <t xml:space="preserve">RETAINED</t>
  </si>
  <si>
    <t xml:space="preserve">EPA proposal of 18 May 2026 upholds these.</t>
  </si>
  <si>
    <t xml:space="preserve">Original compliance deadline</t>
  </si>
  <si>
    <t xml:space="preserve">26 April 2029</t>
  </si>
  <si>
    <t xml:space="preserve">2024 final rule.</t>
  </si>
  <si>
    <t xml:space="preserve">Proposed extended deadline</t>
  </si>
  <si>
    <t xml:space="preserve">26 April 2031</t>
  </si>
  <si>
    <t xml:space="preserve">On request, not automatic — EPA declined an automatic extension.</t>
  </si>
  <si>
    <t xml:space="preserve">PFHxS, PFNA, GenX, Hazard Index MCLs</t>
  </si>
  <si>
    <t xml:space="preserve">PROPOSED FOR RESCISSION</t>
  </si>
  <si>
    <t xml:space="preserve">On legal and procedural grounds under the SDWA, NOT on the health science.</t>
  </si>
  <si>
    <t xml:space="preserve">Comment period</t>
  </si>
  <si>
    <t xml:space="preserve">Closed 20 July 2026</t>
  </si>
  <si>
    <t xml:space="preserve">Public hearing held 7 July 2026.</t>
  </si>
  <si>
    <t xml:space="preserve">Sector treatment cost</t>
  </si>
  <si>
    <t xml:space="preserve">AWWA / Black &amp; Veatch</t>
  </si>
  <si>
    <t xml:space="preserve">Trade-association model produced to argue against a stricter rule.</t>
  </si>
  <si>
    <t xml:space="preserve">CERCLA disposal cost if designated</t>
  </si>
  <si>
    <t xml:space="preserve">potential</t>
  </si>
  <si>
    <t xml:space="preserve">Residuals disposal exposure.</t>
  </si>
  <si>
    <t xml:space="preserve">Household rate impact — low</t>
  </si>
  <si>
    <t xml:space="preserve">$ p.a.</t>
  </si>
  <si>
    <t xml:space="preserve">AWWA</t>
  </si>
  <si>
    <t xml:space="preserve">Household rate impact — high</t>
  </si>
  <si>
    <t xml:space="preserve">Worst for small systems, where fewer households share the cost.</t>
  </si>
  <si>
    <t xml:space="preserve">NET EFFECT of the 2026 proposals: the PFAS opportunity is SMALLER and LATER than the 2024 rule implied. Retaining only PFOA and PFOS reduces the number of systems triggered, and slipping compliance two years pushes capital into 2029-2031. Any model built on the full six-compound rule is stale.</t>
  </si>
  <si>
    <t xml:space="preserve">Other regulatory drivers</t>
  </si>
  <si>
    <t xml:space="preserve">Scale</t>
  </si>
  <si>
    <t xml:space="preserve">Mechanism</t>
  </si>
  <si>
    <t xml:space="preserve">CSO / SSO consent decrees</t>
  </si>
  <si>
    <t xml:space="preserve">communities</t>
  </si>
  <si>
    <t xml:space="preserve">Court-supervised Clean Water Act settlements</t>
  </si>
  <si>
    <t xml:space="preserve">A court order is not a budget line — non-deferrable, multi-decade.</t>
  </si>
  <si>
    <t xml:space="preserve">bn gal/yr</t>
  </si>
  <si>
    <t xml:space="preserve">Concentrated in older Northeast, Great Lakes and Pacific Northwest cities.</t>
  </si>
  <si>
    <t xml:space="preserve">POTW end-of-life</t>
  </si>
  <si>
    <t xml:space="preserve">yr design life</t>
  </si>
  <si>
    <t xml:space="preserve">1972 Clean Water Act cohort</t>
  </si>
  <si>
    <t xml:space="preserve">Equipment life 15-20 years; plants 40-50.</t>
  </si>
  <si>
    <t xml:space="preserve">Data centre water consumption today</t>
  </si>
  <si>
    <t xml:space="preserve">New demand</t>
  </si>
  <si>
    <t xml:space="preserve">Midpoint of 17-19bn.</t>
  </si>
  <si>
    <t xml:space="preserve">Data centre water consumption 2030</t>
  </si>
  <si>
    <t xml:space="preserve">Midpoint of 60-110bn. 97% supplied by municipal systems.</t>
  </si>
  <si>
    <t xml:space="preserve">Core &amp; Main (CNM)</t>
  </si>
  <si>
    <t xml:space="preserve">Fiscal years end the Sunday nearest 31 January and are labelled by end date. $m unless stated. Data sourced from Quartr.</t>
  </si>
  <si>
    <t xml:space="preserve">Income statement — five years</t>
  </si>
  <si>
    <t xml:space="preserve">$m</t>
  </si>
  <si>
    <t xml:space="preserve">FY end Jan-2022</t>
  </si>
  <si>
    <t xml:space="preserve">FY end Jan-2023</t>
  </si>
  <si>
    <t xml:space="preserve">FY end Jan-2024</t>
  </si>
  <si>
    <t xml:space="preserve">FY end Feb-2025</t>
  </si>
  <si>
    <t xml:space="preserve">FY end Feb-2026</t>
  </si>
  <si>
    <t xml:space="preserve">Net sales</t>
  </si>
  <si>
    <t xml:space="preserve">Quartr — standardised income statement</t>
  </si>
  <si>
    <t xml:space="preserve">  growth</t>
  </si>
  <si>
    <t xml:space="preserve">Gross profit</t>
  </si>
  <si>
    <t xml:space="preserve">Quartr</t>
  </si>
  <si>
    <t xml:space="preserve">  gross margin</t>
  </si>
  <si>
    <t xml:space="preserve">EBITDA (standardised)</t>
  </si>
  <si>
    <t xml:space="preserve">Quartr. Company-reported Adjusted EBITDA for FY end Feb-2026 was $931m.</t>
  </si>
  <si>
    <t xml:space="preserve">  EBITDA margin</t>
  </si>
  <si>
    <t xml:space="preserve">Operating income</t>
  </si>
  <si>
    <t xml:space="preserve">Net income</t>
  </si>
  <si>
    <t xml:space="preserve">Diluted EPS ($)</t>
  </si>
  <si>
    <t xml:space="preserve">Revenue CAGR, FY22 to FY26</t>
  </si>
  <si>
    <t xml:space="preserve">Formula. Includes the 2021-22 inflation surge.</t>
  </si>
  <si>
    <t xml:space="preserve">End-market and product mix — fiscal year ended 1 February 2026</t>
  </si>
  <si>
    <t xml:space="preserve">Segment</t>
  </si>
  <si>
    <t xml:space="preserve">% of net sales</t>
  </si>
  <si>
    <t xml:space="preserve">Implied $m</t>
  </si>
  <si>
    <t xml:space="preserve">Municipal</t>
  </si>
  <si>
    <t xml:space="preserve">Core &amp; Main Q1 FY2026 investor presentation, slide 12</t>
  </si>
  <si>
    <t xml:space="preserve">Non-residential</t>
  </si>
  <si>
    <t xml:space="preserve">Residential</t>
  </si>
  <si>
    <t xml:space="preserve">Total</t>
  </si>
  <si>
    <t xml:space="preserve">Split</t>
  </si>
  <si>
    <t xml:space="preserve">New construction</t>
  </si>
  <si>
    <t xml:space="preserve">Core &amp; Main Q1 FY2026 deck</t>
  </si>
  <si>
    <t xml:space="preserve">Repair and replace</t>
  </si>
  <si>
    <t xml:space="preserve">The least cyclical revenue in the sector — funded from rates and O&amp;M</t>
  </si>
  <si>
    <t xml:space="preserve">Market position and scale</t>
  </si>
  <si>
    <t xml:space="preserve">US total addressable market</t>
  </si>
  <si>
    <t xml:space="preserve">Core &amp; Main deck, based on third-party research</t>
  </si>
  <si>
    <t xml:space="preserve">US market share</t>
  </si>
  <si>
    <t xml:space="preserve">Core &amp; Main deck</t>
  </si>
  <si>
    <t xml:space="preserve">US + Canada TAM</t>
  </si>
  <si>
    <t xml:space="preserve">US + Canada market share</t>
  </si>
  <si>
    <t xml:space="preserve">Branches</t>
  </si>
  <si>
    <t xml:space="preserve">As at 3 May 2026</t>
  </si>
  <si>
    <t xml:space="preserve">Associates</t>
  </si>
  <si>
    <t xml:space="preserve">Customers</t>
  </si>
  <si>
    <t xml:space="preserve">Products</t>
  </si>
  <si>
    <t xml:space="preserve">Cross-check: TAM x share</t>
  </si>
  <si>
    <t xml:space="preserve">Formula. Compare with reported net sales of $7,647m — internally consistent.</t>
  </si>
  <si>
    <t xml:space="preserve">Q1 fiscal 2026 (quarter ended 3 May 2026) and guidance</t>
  </si>
  <si>
    <t xml:space="preserve">Q1 FY26</t>
  </si>
  <si>
    <t xml:space="preserve">Q1 FY25</t>
  </si>
  <si>
    <t xml:space="preserve">Change</t>
  </si>
  <si>
    <t xml:space="preserve">Net sales ($m)</t>
  </si>
  <si>
    <t xml:space="preserve">Gross profit ($m)</t>
  </si>
  <si>
    <t xml:space="preserve">Adjusted EBITDA ($m)</t>
  </si>
  <si>
    <t xml:space="preserve">Net income ($m)</t>
  </si>
  <si>
    <t xml:space="preserve">Gross margin</t>
  </si>
  <si>
    <t xml:space="preserve">+50bps</t>
  </si>
  <si>
    <t xml:space="preserve">Adjusted diluted EPS ($)</t>
  </si>
  <si>
    <t xml:space="preserve">+6%</t>
  </si>
  <si>
    <t xml:space="preserve">FY2026 guidance</t>
  </si>
  <si>
    <t xml:space="preserve">Low</t>
  </si>
  <si>
    <t xml:space="preserve">High</t>
  </si>
  <si>
    <t xml:space="preserve">vs FY2025</t>
  </si>
  <si>
    <t xml:space="preserve">Reaffirmed at Q1. Growth of 2-3%.</t>
  </si>
  <si>
    <t xml:space="preserve">FY2025 adjusted EBITDA was $931m</t>
  </si>
  <si>
    <t xml:space="preserve">Adjusted EBITDA margin</t>
  </si>
  <si>
    <t xml:space="preserve">FY2025 margin 12.2%</t>
  </si>
  <si>
    <t xml:space="preserve">Above-market growth initiatives</t>
  </si>
  <si>
    <t xml:space="preserve">Initiative</t>
  </si>
  <si>
    <t xml:space="preserve">5-yr sales CAGR</t>
  </si>
  <si>
    <t xml:space="preserve">Size</t>
  </si>
  <si>
    <t xml:space="preserve">Treatment plant solutions</t>
  </si>
  <si>
    <t xml:space="preserve">15-25%</t>
  </si>
  <si>
    <t xml:space="preserve">mid-single-digit % of net sales</t>
  </si>
  <si>
    <t xml:space="preserve">Aging facilities plus regulatory requirements; management: 'supported by durable funding' and 'non-discretionary'</t>
  </si>
  <si>
    <t xml:space="preserve">Smart utility / AMI metering</t>
  </si>
  <si>
    <t xml:space="preserve">not disclosed; growing double digits</t>
  </si>
  <si>
    <t xml:space="preserve">Multi-year municipal AMI programmes; non-revenue water economics</t>
  </si>
  <si>
    <t xml:space="preserve">The deck reports 15% and 25% five-year CAGRs for the two initiatives; the pairing is ambiguous in the source layout, so both are shown as a range rather than assigned. Management confirmed treatment plant is mid-single-digit % of sales and growing double digits.</t>
  </si>
  <si>
    <t xml:space="preserve">Ferguson Enterprises (FERG)</t>
  </si>
  <si>
    <t xml:space="preserve">Fiscal years ended 31 July through FY2025; the company then moved to a 31 December year end. $m. Data sourced from Quartr.</t>
  </si>
  <si>
    <t xml:space="preserve">Income statement — eight periods</t>
  </si>
  <si>
    <t xml:space="preserve">FY Jul-19</t>
  </si>
  <si>
    <t xml:space="preserve">FY Jul-20</t>
  </si>
  <si>
    <t xml:space="preserve">FY Jul-21</t>
  </si>
  <si>
    <t xml:space="preserve">FY Jul-22</t>
  </si>
  <si>
    <t xml:space="preserve">FY Jul-23</t>
  </si>
  <si>
    <t xml:space="preserve">FY Jul-24</t>
  </si>
  <si>
    <t xml:space="preserve">FY Jul-25</t>
  </si>
  <si>
    <t xml:space="preserve">CY Dec-25</t>
  </si>
  <si>
    <t xml:space="preserve">CY Dec-25 is a transition period, not comparable to the July years</t>
  </si>
  <si>
    <t xml:space="preserve">EBITDA</t>
  </si>
  <si>
    <t xml:space="preserve">Quartr; FY Jul-19 not available</t>
  </si>
  <si>
    <t xml:space="preserve">  operating margin</t>
  </si>
  <si>
    <t xml:space="preserve">US net sales by customer group — quarter ended 30 June 2026</t>
  </si>
  <si>
    <t xml:space="preserve">Customer group</t>
  </si>
  <si>
    <t xml:space="preserve">% of US sales</t>
  </si>
  <si>
    <t xml:space="preserve">Growth Q2 CY26</t>
  </si>
  <si>
    <t xml:space="preserve">Growth Q2 CY25</t>
  </si>
  <si>
    <t xml:space="preserve">Implied $m/qtr</t>
  </si>
  <si>
    <t xml:space="preserve">Waterworks</t>
  </si>
  <si>
    <t xml:space="preserve">Ferguson Q2 CY2026 deck, slide 7</t>
  </si>
  <si>
    <t xml:space="preserve">Ferguson Home</t>
  </si>
  <si>
    <t xml:space="preserve">Commercial / Mechanical</t>
  </si>
  <si>
    <t xml:space="preserve">Residential Trade Plumbing</t>
  </si>
  <si>
    <t xml:space="preserve">HVAC</t>
  </si>
  <si>
    <t xml:space="preserve">Industrial</t>
  </si>
  <si>
    <t xml:space="preserve">Facilities Supply</t>
  </si>
  <si>
    <t xml:space="preserve">Fire &amp; Fabrication</t>
  </si>
  <si>
    <t xml:space="preserve">US total</t>
  </si>
  <si>
    <t xml:space="preserve">US segment net sales, quarter ended 30 June 2026</t>
  </si>
  <si>
    <t xml:space="preserve">Canada</t>
  </si>
  <si>
    <t xml:space="preserve">Canada segment, same quarter</t>
  </si>
  <si>
    <t xml:space="preserve">Group total</t>
  </si>
  <si>
    <t xml:space="preserve">Quarter ended 30 June 2026</t>
  </si>
  <si>
    <t xml:space="preserve">Waterworks revenue — ESTIMATE, not a reported figure</t>
  </si>
  <si>
    <t xml:space="preserve">Group revenue, calendar 2025</t>
  </si>
  <si>
    <t xml:space="preserve">Reported</t>
  </si>
  <si>
    <t xml:space="preserve">Canada, annualised from Q2</t>
  </si>
  <si>
    <t xml:space="preserve">ESTIMATE — $408m x 4</t>
  </si>
  <si>
    <t xml:space="preserve">Implied US revenue</t>
  </si>
  <si>
    <t xml:space="preserve">Waterworks share — full-year low</t>
  </si>
  <si>
    <t xml:space="preserve">ESTIMATE. Q2 is seasonally the strongest waterworks quarter, so the reported 24% overstates the full-year share.</t>
  </si>
  <si>
    <t xml:space="preserve">Waterworks share — Q2 reported</t>
  </si>
  <si>
    <t xml:space="preserve">Estimated waterworks revenue — low</t>
  </si>
  <si>
    <t xml:space="preserve">Estimated waterworks revenue — high</t>
  </si>
  <si>
    <t xml:space="preserve">  as % of group revenue</t>
  </si>
  <si>
    <t xml:space="preserve">Other</t>
  </si>
  <si>
    <t xml:space="preserve">Large capital projects, % of group revenue</t>
  </si>
  <si>
    <t xml:space="preserve">Mid- to high-single-digit and trending up. Backlogs building above realised growth rates, incl. waterworks.</t>
  </si>
  <si>
    <t xml:space="preserve">Commodities, % of revenue</t>
  </si>
  <si>
    <t xml:space="preserve">PVC still in double-digit deflation in Q2 CY26.</t>
  </si>
  <si>
    <t xml:space="preserve">FloWorks acquisition — price</t>
  </si>
  <si>
    <t xml:space="preserve">~$1bn revenue; ~10x LTM adjusted EBITDA incl. synergies; expected close Q3 2026.</t>
  </si>
  <si>
    <t xml:space="preserve">FloWorks — expected annual synergies</t>
  </si>
  <si>
    <t xml:space="preserve">Cross-sell into waterworks, commercial/mechanical and industrial.</t>
  </si>
  <si>
    <t xml:space="preserve">Net debt : adjusted EBITDA</t>
  </si>
  <si>
    <t xml:space="preserve">x</t>
  </si>
  <si>
    <t xml:space="preserve">Target range 1-2x; ~1.8x expected at FloWorks closing.</t>
  </si>
  <si>
    <t xml:space="preserve">CY2026 operating margin guidance — low</t>
  </si>
  <si>
    <t xml:space="preserve">Raised at Q2.</t>
  </si>
  <si>
    <t xml:space="preserve">CY2026 operating margin guidance — high</t>
  </si>
  <si>
    <t xml:space="preserve">Core &amp; Main vs Ferguson</t>
  </si>
  <si>
    <t xml:space="preserve">Two very different ways to own the same theme. Sensitivity computed by formula.</t>
  </si>
  <si>
    <t xml:space="preserve">Side by side</t>
  </si>
  <si>
    <t xml:space="preserve">Core &amp; Main</t>
  </si>
  <si>
    <t xml:space="preserve">Latest full-year revenue ($m)</t>
  </si>
  <si>
    <t xml:space="preserve">CNM: FY ended 1 Feb 2026. FERG: calendar 2025.</t>
  </si>
  <si>
    <t xml:space="preserve">Estimated waterworks revenue ($m)</t>
  </si>
  <si>
    <t xml:space="preserve">CNM is 100% water. FERG figure is an ESTIMATE — see Ferguson tab.</t>
  </si>
  <si>
    <t xml:space="preserve">Municipal revenue ($m)</t>
  </si>
  <si>
    <t xml:space="preserve">n/d</t>
  </si>
  <si>
    <t xml:space="preserve">Ferguson does not disclose a municipal split.</t>
  </si>
  <si>
    <t xml:space="preserve">Profitability margin</t>
  </si>
  <si>
    <t xml:space="preserve">CNM adjusted EBITDA margin FY2025. FERG adjusted operating margin Q2 CY26 — not like for like.</t>
  </si>
  <si>
    <t xml:space="preserve">Repair &amp; replace share</t>
  </si>
  <si>
    <t xml:space="preserve">CNM deck. Ferguson does not disclose.</t>
  </si>
  <si>
    <t xml:space="preserve">Combined market position</t>
  </si>
  <si>
    <t xml:space="preserve">Combined waterworks revenue ($m)</t>
  </si>
  <si>
    <t xml:space="preserve">US TAM ($m)</t>
  </si>
  <si>
    <t xml:space="preserve">Combined share of US TAM</t>
  </si>
  <si>
    <t xml:space="preserve">A duopoly at the head of a long fragmented tail — the structural reason both can consolidate and hold pricing.</t>
  </si>
  <si>
    <t xml:space="preserve">Sensitivity — what 100bp of market growth is actually worth</t>
  </si>
  <si>
    <t xml:space="preserve">Exposed revenue base ($m)</t>
  </si>
  <si>
    <t xml:space="preserve">CNM: municipal revenue. FERG: estimated waterworks revenue.</t>
  </si>
  <si>
    <t xml:space="preserve">Market growth change</t>
  </si>
  <si>
    <t xml:space="preserve">Editable — change to test other increments.</t>
  </si>
  <si>
    <t xml:space="preserve">Revenue impact ($m)</t>
  </si>
  <si>
    <t xml:space="preserve">THE NUMBER MOST INVESTORS GET WRONG. Even for the pure play this is under half a percent.</t>
  </si>
  <si>
    <t xml:space="preserve">EBITDA impact ($m)</t>
  </si>
  <si>
    <t xml:space="preserve">At current margins. Incremental margin on distribution volume is typically higher.</t>
  </si>
  <si>
    <t xml:space="preserve">IIJA peak drag scenario</t>
  </si>
  <si>
    <t xml:space="preserve">Market growth points lost at peak</t>
  </si>
  <si>
    <t xml:space="preserve">Midpoint of the 1.0-1.5pt range, concentrated in 2029-2030 — see Forward Model.</t>
  </si>
  <si>
    <t xml:space="preserve">Revenue growth impact</t>
  </si>
  <si>
    <t xml:space="preserve">Formula. Well under 100bps for either company.</t>
  </si>
  <si>
    <t xml:space="preserve">Residential construction — 18% of Core &amp; Main's mix and about half of Ferguson's US mix — moves both companies materially more than the federal funding question does. That is the risk worth underwriting.</t>
  </si>
  <si>
    <t xml:space="preserve">Every figure below is a live link to the tab that derives it.</t>
  </si>
  <si>
    <t xml:space="preserve">The funding map</t>
  </si>
  <si>
    <t xml:space="preserve">Reads</t>
  </si>
  <si>
    <t xml:space="preserve">CBO. Federal policy sets rules far more powerfully than it sets budgets.</t>
  </si>
  <si>
    <t xml:space="preserve">Water utilities total spending, 2023</t>
  </si>
  <si>
    <t xml:space="preserve">CBO — of which capital is the minority.</t>
  </si>
  <si>
    <t xml:space="preserve">The anchor for the forward model.</t>
  </si>
  <si>
    <t xml:space="preserve">Water and sewer bill increase, 2025</t>
  </si>
  <si>
    <t xml:space="preserve">Bluefield. The variable that matters most for distributor revenue.</t>
  </si>
  <si>
    <t xml:space="preserve">The forward model</t>
  </si>
  <si>
    <t xml:space="preserve">2026 capital base</t>
  </si>
  <si>
    <t xml:space="preserve">Reconciliation of four independent sources.</t>
  </si>
  <si>
    <t xml:space="preserve">2030 total spending (base case)</t>
  </si>
  <si>
    <t xml:space="preserve">2035 total spending (base case)</t>
  </si>
  <si>
    <t xml:space="preserve">Mid-single-digit nominal. Not a boom and not a bust.</t>
  </si>
  <si>
    <t xml:space="preserve">Net IIJA drag as % of base</t>
  </si>
  <si>
    <t xml:space="preserve">The honest measure of the cliff — not the 100% often assumed.</t>
  </si>
  <si>
    <t xml:space="preserve">2035 bear case</t>
  </si>
  <si>
    <t xml:space="preserve">2035 bull case</t>
  </si>
  <si>
    <t xml:space="preserve">No credible scenario has spending falling in nominal terms.</t>
  </si>
  <si>
    <t xml:space="preserve">The engineering evidence</t>
  </si>
  <si>
    <t xml:space="preserve">Change in national break rate, 2018-2023</t>
  </si>
  <si>
    <t xml:space="preserve">THE COUNTER-EVIDENCE. The network is getting more reliable, not less.</t>
  </si>
  <si>
    <t xml:space="preserve">Hard legal replacement mandate.</t>
  </si>
  <si>
    <t xml:space="preserve">Lead replacement unfunded balance</t>
  </si>
  <si>
    <t xml:space="preserve">Must come from rates. This is the rate-driver.</t>
  </si>
  <si>
    <t xml:space="preserve">The companies</t>
  </si>
  <si>
    <t xml:space="preserve">Core &amp; Main revenue ($m)</t>
  </si>
  <si>
    <t xml:space="preserve">FY ended 1 Feb 2026.</t>
  </si>
  <si>
    <t xml:space="preserve">Ferguson revenue ($m)</t>
  </si>
  <si>
    <t xml:space="preserve">Calendar 2025.</t>
  </si>
  <si>
    <t xml:space="preserve">A duopoly at the head of a fragmented tail.</t>
  </si>
  <si>
    <t xml:space="preserve">100bp market growth — CNM revenue impact</t>
  </si>
  <si>
    <t xml:space="preserve">% of sales</t>
  </si>
  <si>
    <t xml:space="preserve">The IIJA cliff is worth less than this to either company.</t>
  </si>
  <si>
    <t xml:space="preserve">100bp market growth — FERG revenue impact</t>
  </si>
  <si>
    <t xml:space="preserve">VERIFY BEFORE USE: public-sector figures in this workbook were obtained via search results summarising primary documents, because this environment's network policy blocked direct access to cbo.gov, epa.gov, census.gov, congress.gov and fred.stlouisfed.org. Company financials came from Quartr's primary filings and do not carry this caveat. See the Read Me tab.</t>
  </si>
  <si>
    <t xml:space="preserve">Pipe Age and Repair History — What Is Public</t>
  </si>
  <si>
    <t xml:space="preserve">Where segment-level installation year and repair history can actually be obtained.</t>
  </si>
  <si>
    <t xml:space="preserve">The structural gap</t>
  </si>
  <si>
    <t xml:space="preserve">Sector</t>
  </si>
  <si>
    <t xml:space="preserve">National age registry?</t>
  </si>
  <si>
    <t xml:space="preserve">Granularity</t>
  </si>
  <si>
    <t xml:space="preserve">Publisher</t>
  </si>
  <si>
    <t xml:space="preserve">Natural gas + hazardous liquid</t>
  </si>
  <si>
    <t xml:space="preserve">YES</t>
  </si>
  <si>
    <t xml:space="preserve">National, by decade</t>
  </si>
  <si>
    <t xml:space="preserve">PHMSA</t>
  </si>
  <si>
    <t xml:space="preserve">By-Decade Inventory: mileage by decade of installation for gas distribution, gas transmission and hazardous liquid. Operators must file annual reports covering age, length, diameter, material.</t>
  </si>
  <si>
    <t xml:space="preserve">Water and wastewater</t>
  </si>
  <si>
    <t xml:space="preserve">NO</t>
  </si>
  <si>
    <t xml:space="preserve">None</t>
  </si>
  <si>
    <t xml:space="preserve">—</t>
  </si>
  <si>
    <t xml:space="preserve">No federal reporting requirement for pipe age. SDWIS carries compliance and violations but no distribution-system asset inventory. Responsibility sits with ~50,000 community water systems.</t>
  </si>
  <si>
    <t xml:space="preserve">CONSEQUENCE: every national water pipe-age figure in this workbook is a survey estimate, not a census. The USU study covers ~400,000 miles — over 17% of the 2.3m miles in the US and Canada.</t>
  </si>
  <si>
    <t xml:space="preserve">Tier 1 — asset-level and genuinely public</t>
  </si>
  <si>
    <t xml:space="preserve">Source type</t>
  </si>
  <si>
    <t xml:space="preserve">What it contains</t>
  </si>
  <si>
    <t xml:space="preserve">Cost</t>
  </si>
  <si>
    <t xml:space="preserve">Examples and caveats</t>
  </si>
  <si>
    <t xml:space="preserve">Municipal GIS open-data portals</t>
  </si>
  <si>
    <t xml:space="preserve">Water main layer: installation year, material, diameter, length, sometimes lining status</t>
  </si>
  <si>
    <t xml:space="preserve">Pipe segment</t>
  </si>
  <si>
    <t xml:space="preserve">Free</t>
  </si>
  <si>
    <t xml:space="preserve">Seattle Public Utilities Water Mains (incl. a 'Presumed Unlined' condition layer); Open Data DC; federated search via catalog.data.gov. THE BEST SOURCE FOR PIPE AGE. Install year often null on the oldest segments — precisely the ones that matter.</t>
  </si>
  <si>
    <t xml:space="preserve">Water main break datasets</t>
  </si>
  <si>
    <t xml:space="preserve">Break location and date</t>
  </si>
  <si>
    <t xml:space="preserve">Point location</t>
  </si>
  <si>
    <t xml:space="preserve">DC Water publishes five years of breaks, updated weekly. Records FAILURES, not planned replacement — a segment replaced on schedule generates no record.</t>
  </si>
  <si>
    <t xml:space="preserve">Street opening / excavation permits</t>
  </si>
  <si>
    <t xml:space="preserve">Who dug, where, when, why</t>
  </si>
  <si>
    <t xml:space="preserve">Street segment</t>
  </si>
  <si>
    <t xml:space="preserve">NYCStreets permit management; Chicago CDOT Office of Underground Coordination. The best available proxy for LAST PERIOD OF REPAIR, and it captures planned work that break data misses.</t>
  </si>
  <si>
    <t xml:space="preserve">Lead service line inventories</t>
  </si>
  <si>
    <t xml:space="preserve">Service line material by location incl. lead, galvanized-requiring-replacement and unknown</t>
  </si>
  <si>
    <t xml:space="preserve">Address / parcel</t>
  </si>
  <si>
    <t xml:space="preserve">Mandatory public accessibility since 16 Oct 2024; systems &gt;50,000 must publish online. Baseline inventory and replacement plan due 1 Nov 2027, updated ANNUALLY. State dashboards: New York, Minnesota.</t>
  </si>
  <si>
    <t xml:space="preserve">Tier 2 — system-level, and the most useful for an investor</t>
  </si>
  <si>
    <t xml:space="preserve">Municipal bond official statements</t>
  </si>
  <si>
    <t xml:space="preserve">System description: miles of main, material mix, age profile, capital plan, replacement rates, rate history</t>
  </si>
  <si>
    <t xml:space="preserve">Utility</t>
  </si>
  <si>
    <t xml:space="preserve">MSRB EMMA — official statements for essentially every muni bond since 1990, plus continuing disclosure. Disclosure liability compels the issuer to describe the asset. HIGHEST-DENSITY PUBLIC SOURCE.</t>
  </si>
  <si>
    <t xml:space="preserve">Asset management plans / CIPs</t>
  </si>
  <si>
    <t xml:space="preserve">Segment register with material, diameter, install year, replacement value, maintenance history; sequenced CIP</t>
  </si>
  <si>
    <t xml:space="preserve">Published directly by some utilities, e.g. Sacramento Suburban Water District's Distribution Main Asset Management Plan. Availability is patchy.</t>
  </si>
  <si>
    <t xml:space="preserve">Investor-owned utility 10-Ks</t>
  </si>
  <si>
    <t xml:space="preserve">Replacement cycle, miles to be replaced, capital plans</t>
  </si>
  <si>
    <t xml:space="preserve">Company</t>
  </si>
  <si>
    <t xml:space="preserve">American Water: renewal rate improved from a 250-year cycle (2009) to ~125-year by 2028; ~2,000 miles 2024-2028; $34-38bn over ten years. An SEC filing, not an advocacy report.</t>
  </si>
  <si>
    <t xml:space="preserve">State PUC rate-case dockets</t>
  </si>
  <si>
    <t xml:space="preserve">Depreciation studies with assumed service lives by asset class; plant-in-service vintage</t>
  </si>
  <si>
    <t xml:space="preserve">Company / asset class</t>
  </si>
  <si>
    <t xml:space="preserve">Public docket filings, state by state.</t>
  </si>
  <si>
    <t xml:space="preserve">System condition assessments and dated remediation schedules</t>
  </si>
  <si>
    <t xml:space="preserve">System</t>
  </si>
  <si>
    <t xml:space="preserve">DOJ/EPA lodged decrees. Effectively a court-supervised published asset plan.</t>
  </si>
  <si>
    <t xml:space="preserve">Tier 3 — national aggregates (estimates, not censuses)</t>
  </si>
  <si>
    <t xml:space="preserve">What it gives</t>
  </si>
  <si>
    <t xml:space="preserve">Coverage</t>
  </si>
  <si>
    <t xml:space="preserve">Limitation</t>
  </si>
  <si>
    <t xml:space="preserve">USU Water Main Break Rates (Dec 2023)</t>
  </si>
  <si>
    <t xml:space="preserve">Break rate and age by material; avg failure age 53 yrs; 33% of mains &gt;50 yrs</t>
  </si>
  <si>
    <t xml:space="preserve">802 utilities, ~400,000 miles</t>
  </si>
  <si>
    <t xml:space="preserve">&gt;17% of the 2.3m miles in US+Canada. Best available, still a sample.</t>
  </si>
  <si>
    <t xml:space="preserve">EPA CWNS 2022</t>
  </si>
  <si>
    <t xml:space="preserve">FACILITY-LEVEL project and needs data, downloadable CSV or Access</t>
  </si>
  <si>
    <t xml:space="preserve">All states, 100% participation</t>
  </si>
  <si>
    <t xml:space="preserve">Projects and costs, NOT pipe age. Wastewater only.</t>
  </si>
  <si>
    <t xml:space="preserve">National and state needs; 9.2m lead service lines</t>
  </si>
  <si>
    <t xml:space="preserve">National</t>
  </si>
  <si>
    <t xml:space="preserve">Aggregated. Underlying utility responses are not public.</t>
  </si>
  <si>
    <t xml:space="preserve">UMich Center for Sustainable Systems</t>
  </si>
  <si>
    <t xml:space="preserve">Average age of US water pipes 45 years (2020), up from 25 (1970)</t>
  </si>
  <si>
    <t xml:space="preserve">Derived estimate, not a measurement.</t>
  </si>
  <si>
    <t xml:space="preserve">What does not exist</t>
  </si>
  <si>
    <t xml:space="preserve">Status</t>
  </si>
  <si>
    <t xml:space="preserve">Federal water analogue to PHMSA By-Decade Inventory</t>
  </si>
  <si>
    <t xml:space="preserve">DOES NOT EXIST</t>
  </si>
  <si>
    <t xml:space="preserve">No agency collects water pipe age.</t>
  </si>
  <si>
    <t xml:space="preserve">SDWIS distribution-system asset inventory</t>
  </si>
  <si>
    <t xml:space="preserve">SDWIS covers compliance, violations, enforcement and basic system inventory only.</t>
  </si>
  <si>
    <t xml:space="preserve">PIPEiD (Virginia Tech SWIM Center)</t>
  </si>
  <si>
    <t xml:space="preserve">EXISTS BUT NOT OPEN</t>
  </si>
  <si>
    <t xml:space="preserve">Bureau of Reclamation funded; data from 500+ US water utilities and 100 federal facilities. A SECURED utility decision-support platform, not an open dataset. Its existence is the clearest evidence the gap is real and recognised.</t>
  </si>
  <si>
    <t xml:space="preserve">AWIA s.2013 risk and resilience assessments</t>
  </si>
  <si>
    <t xml:space="preserve">CONFIDENTIAL BY STATUTE</t>
  </si>
  <si>
    <t xml:space="preserve">Deliberately withheld on security grounds.</t>
  </si>
  <si>
    <t xml:space="preserve">Recipe for a bottom-up demand estimate</t>
  </si>
  <si>
    <t xml:space="preserve">Action</t>
  </si>
  <si>
    <t xml:space="preserve">Output</t>
  </si>
  <si>
    <t xml:space="preserve">1</t>
  </si>
  <si>
    <t xml:space="preserve">Select the 20-30 utilities with the largest capital programmes</t>
  </si>
  <si>
    <t xml:space="preserve">Identifiable from EMMA issuance volume and CWNS project data</t>
  </si>
  <si>
    <t xml:space="preserve">2</t>
  </si>
  <si>
    <t xml:space="preserve">Pull each water main GIS layer; build a vintage histogram</t>
  </si>
  <si>
    <t xml:space="preserve">Miles by installation decade and material; implied replacement rate from year-on-year layer changes</t>
  </si>
  <si>
    <t xml:space="preserve">3</t>
  </si>
  <si>
    <t xml:space="preserve">Pull the EMMA official statement and CIP</t>
  </si>
  <si>
    <t xml:space="preserve">Stated forward capital plan; continuing disclosure gives actuals vs plan</t>
  </si>
  <si>
    <t xml:space="preserve">4</t>
  </si>
  <si>
    <t xml:space="preserve">Pull the LSL inventory, and from Nov 2027 the annual replacement plan</t>
  </si>
  <si>
    <t xml:space="preserve">Service line counts and realised replacement pace</t>
  </si>
  <si>
    <t xml:space="preserve">5</t>
  </si>
  <si>
    <t xml:space="preserve">Pull break datasets and street-opening permits</t>
  </si>
  <si>
    <t xml:space="preserve">Validation that stated replacement is physically happening</t>
  </si>
  <si>
    <t xml:space="preserve">LIMITATIONS. Coverage skews to large, well-resourced utilities — most of the ~50,000 community water systems publish nothing, so extrapolating from the transparent ones overstates system quality and understates need. Installation year is frequently null on the oldest segments. 'Last repair' is almost never an attribute — breaks and permits are proxies, and both miss trenchless rehabilitation such as CIPP lining and pipe bursting. Schemas are not standardised across utilities, which is the specific problem PIPEiD exists to solve and has not solved.</t>
  </si>
  <si>
    <t xml:space="preserve">VERIFICATION CAVEAT: none of these portals could be opened from the session that produced this workbook — the environment's egress allowlist blocks all external hosts. Descriptions are built from search evidence about what these sources contain, not from inspecting them. Confirm each dataset's actual schema, and how sparsely the installation-year field is populated, before relying on it.</t>
  </si>
  <si>
    <t xml:space="preserve">Annual Data — As Far Back As Available</t>
  </si>
  <si>
    <t xml:space="preserve">Company data downloaded from Quartr, one column per fiscal year. Macro data compiled with sources and retrieval routes. $m unless stated.</t>
  </si>
  <si>
    <t xml:space="preserve">Core &amp; Main (CNM) — fiscal years ended the Sunday nearest 31 January</t>
  </si>
  <si>
    <t xml:space="preserve">FY2022</t>
  </si>
  <si>
    <t xml:space="preserve">FY2023</t>
  </si>
  <si>
    <t xml:space="preserve">FY2024</t>
  </si>
  <si>
    <t xml:space="preserve">Period end</t>
  </si>
  <si>
    <t xml:space="preserve">2022-01-30</t>
  </si>
  <si>
    <t xml:space="preserve">2023-01-29</t>
  </si>
  <si>
    <t xml:space="preserve">2024-01-28</t>
  </si>
  <si>
    <t xml:space="preserve">2025-02-02</t>
  </si>
  <si>
    <t xml:space="preserve">2026-02-01</t>
  </si>
  <si>
    <t xml:space="preserve">Quartr, standardised from primary filings</t>
  </si>
  <si>
    <t xml:space="preserve">see period columns</t>
  </si>
  <si>
    <t xml:space="preserve">Company-reported Adjusted EBITDA for FY2025 was $931m</t>
  </si>
  <si>
    <t xml:space="preserve">Cash from operations</t>
  </si>
  <si>
    <t xml:space="preserve">Capital expenditure (abs)</t>
  </si>
  <si>
    <t xml:space="preserve">Sign convention varies in the vendor feed; absolute values used</t>
  </si>
  <si>
    <t xml:space="preserve">Free cash flow</t>
  </si>
  <si>
    <t xml:space="preserve">Formula: CFO less capex. Computed rather than taken from the vendor FCF field</t>
  </si>
  <si>
    <t xml:space="preserve">  FCF conversion of EBITDA</t>
  </si>
  <si>
    <t xml:space="preserve">Capex as % of sales</t>
  </si>
  <si>
    <t xml:space="preserve">Formula. Asset-light distribution model</t>
  </si>
  <si>
    <t xml:space="preserve">Quartr's coverage of Core &amp; Main begins with the fiscal year ended 30 January 2022. The company IPO'd in July 2021, so this is effectively the full listed history.</t>
  </si>
  <si>
    <t xml:space="preserve">Ferguson (FERG) — fiscal years ended 31 July through FY2025, then a 31 December year end</t>
  </si>
  <si>
    <t xml:space="preserve">FY2018</t>
  </si>
  <si>
    <t xml:space="preserve">FY2019</t>
  </si>
  <si>
    <t xml:space="preserve">FY2020</t>
  </si>
  <si>
    <t xml:space="preserve">CY2025</t>
  </si>
  <si>
    <t xml:space="preserve">2018-07-31</t>
  </si>
  <si>
    <t xml:space="preserve">2019-07-31</t>
  </si>
  <si>
    <t xml:space="preserve">2020-07-31</t>
  </si>
  <si>
    <t xml:space="preserve">2021-07-31</t>
  </si>
  <si>
    <t xml:space="preserve">2022-07-31</t>
  </si>
  <si>
    <t xml:space="preserve">2023-07-31</t>
  </si>
  <si>
    <t xml:space="preserve">2024-07-31</t>
  </si>
  <si>
    <t xml:space="preserve">2025-07-31</t>
  </si>
  <si>
    <t xml:space="preserve">2025-12-31</t>
  </si>
  <si>
    <t xml:space="preserve">Formula. CY2025 is a transition period — NOT comparable to the July years</t>
  </si>
  <si>
    <t xml:space="preserve">FY2019 not available in the vendor feed</t>
  </si>
  <si>
    <t xml:space="preserve">Pre-FY2022 EPS reflects the pre-US-listing share structure and is not comparable</t>
  </si>
  <si>
    <t xml:space="preserve">Formula: CFO less capex. The vendor FCF field is unreliable for FY2024 and is not used</t>
  </si>
  <si>
    <t xml:space="preserve">DATA QUALITY: Quartr's coverage of Ferguson begins with the fiscal year ended 31 July 2018. The company reported as a UK-listed group before its US primary listing, and moved from a July to a December year end in 2025 — so CY2025 is a transition period and its growth rate against FY2025 is not a like-for-like comparison. The FY2024 vendor cash-flow record also carries financing lines in thousands rather than millions; those lines are excluded here.</t>
  </si>
  <si>
    <t xml:space="preserve">Macro series — compiled, with source and retrieval route</t>
  </si>
  <si>
    <t xml:space="preserve">COMPILED, NOT DOWNLOADED. Direct retrieval was blocked from the build environment (see Read Me). Each row carries the publisher, a link, and the exact route to refresh it automatically — FRED series ID, CRS table reference or EPA data portal. Values are as published.</t>
  </si>
  <si>
    <t xml:space="preserve">Series</t>
  </si>
  <si>
    <t xml:space="preserve">Link / retrieval route</t>
  </si>
  <si>
    <t xml:space="preserve">Public spending, transportation + water infrastructure</t>
  </si>
  <si>
    <t xml:space="preserve">2023</t>
  </si>
  <si>
    <t xml:space="preserve">link</t>
  </si>
  <si>
    <t xml:space="preserve">CBO, Public Spending on Transportation and Water Infrastructure 1956-2023 (Feb 2025)</t>
  </si>
  <si>
    <t xml:space="preserve">CBO publishes a supplementary data workbook with the full 1956-2023 series</t>
  </si>
  <si>
    <t xml:space="preserve">Same workbook</t>
  </si>
  <si>
    <t xml:space="preserve">CBO via USAFacts</t>
  </si>
  <si>
    <t xml:space="preserve">CBO supplementary workbook, water utilities series 1956-2023</t>
  </si>
  <si>
    <t xml:space="preserve">Water utilities — capital</t>
  </si>
  <si>
    <t xml:space="preserve">CBO supplementary workbook. ANCHOR FOR THE FORWARD MODEL BASE</t>
  </si>
  <si>
    <t xml:space="preserve">Water utilities — operations &amp; maintenance</t>
  </si>
  <si>
    <t xml:space="preserve">CBO supplementary workbook</t>
  </si>
  <si>
    <t xml:space="preserve">State + local share of water infrastructure</t>
  </si>
  <si>
    <t xml:space="preserve">State + local share of all public infrastructure</t>
  </si>
  <si>
    <t xml:space="preserve">$494.2bn of $625.8bn</t>
  </si>
  <si>
    <t xml:space="preserve">O&amp;M share of all public infrastructure spending</t>
  </si>
  <si>
    <t xml:space="preserve">$355bn of $625.8bn</t>
  </si>
  <si>
    <t xml:space="preserve">Construction put in place — water supply, total</t>
  </si>
  <si>
    <t xml:space="preserve">Jan-2026 SAAR</t>
  </si>
  <si>
    <t xml:space="preserve">US Census Bureau C30</t>
  </si>
  <si>
    <t xml:space="preserve">FRED series TLWSCONS (SAAR) / TLWSCON (NSA monthly, sum for annual)</t>
  </si>
  <si>
    <t xml:space="preserve">Construction put in place — water supply, public</t>
  </si>
  <si>
    <t xml:space="preserve">FRED series PBWSCONS (SAAR) / PBWSCON (NSA monthly). History from 2002</t>
  </si>
  <si>
    <t xml:space="preserve">Construction put in place — sewage &amp; waste disposal, total</t>
  </si>
  <si>
    <t xml:space="preserve">FRED series TLSWDCONS / TLSWDCON. CAUTION: includes solid waste facilities</t>
  </si>
  <si>
    <t xml:space="preserve">Construction put in place — sewage &amp; waste disposal, public</t>
  </si>
  <si>
    <t xml:space="preserve">FRED series PBSWGCONS / PBSWGCON</t>
  </si>
  <si>
    <t xml:space="preserve">Report PDF, annual detail inside</t>
  </si>
  <si>
    <t xml:space="preserve">Report PDF</t>
  </si>
  <si>
    <t xml:space="preserve">All public community-asset capital spending</t>
  </si>
  <si>
    <t xml:space="preserve">+76% over 2012</t>
  </si>
  <si>
    <t xml:space="preserve">Total annual SRF funding (federal)</t>
  </si>
  <si>
    <t xml:space="preserve">CRS appropriations tables give the full fiscal-year series</t>
  </si>
  <si>
    <t xml:space="preserve">Total annual SRF funding (federal, incl. IIJA)</t>
  </si>
  <si>
    <t xml:space="preserve">CRS IF13177 Table 1</t>
  </si>
  <si>
    <t xml:space="preserve">CRS R47474</t>
  </si>
  <si>
    <t xml:space="preserve">CRS IF12950 Table 1</t>
  </si>
  <si>
    <t xml:space="preserve">EPA water infrastructure programmes — total enacted</t>
  </si>
  <si>
    <t xml:space="preserve">P.L. 119-4, via CRS</t>
  </si>
  <si>
    <t xml:space="preserve">P.L. 119-74, via CRS</t>
  </si>
  <si>
    <t xml:space="preserve">Flat vs FY2025</t>
  </si>
  <si>
    <t xml:space="preserve">Drinking Water SRF — House proposal</t>
  </si>
  <si>
    <t xml:space="preserve">House Appropriations Cttee markup</t>
  </si>
  <si>
    <t xml:space="preserve">Down from $1.126bn FY2026</t>
  </si>
  <si>
    <t xml:space="preserve">SRF proposed change</t>
  </si>
  <si>
    <t xml:space="preserve">Committee report</t>
  </si>
  <si>
    <t xml:space="preserve">IIJA — Clean Water SRF supplemental</t>
  </si>
  <si>
    <t xml:space="preserve">IIJA (P.L. 117-58), via CRS</t>
  </si>
  <si>
    <t xml:space="preserve">EPA BIL fact sheet</t>
  </si>
  <si>
    <t xml:space="preserve">IIJA — Drinking Water SRF supplemental</t>
  </si>
  <si>
    <t xml:space="preserve">IIJA, via CRS</t>
  </si>
  <si>
    <t xml:space="preserve">IIJA — lead service line replacement</t>
  </si>
  <si>
    <t xml:space="preserve">IIJA — emerging contaminants (PFAS)</t>
  </si>
  <si>
    <t xml:space="preserve">May-2026</t>
  </si>
  <si>
    <t xml:space="preserve">EPA WIFIA</t>
  </si>
  <si>
    <t xml:space="preserve">EPA publishes a closed-loans list</t>
  </si>
  <si>
    <t xml:space="preserve">EPA closed-loans list</t>
  </si>
  <si>
    <t xml:space="preserve">WIFIA — closings</t>
  </si>
  <si>
    <t xml:space="preserve">WRDA 2026 — CWSRF authorisation (4 yrs)</t>
  </si>
  <si>
    <t xml:space="preserve">2026 bill</t>
  </si>
  <si>
    <t xml:space="preserve">Authorisation, not appropriation</t>
  </si>
  <si>
    <t xml:space="preserve">WRDA 2026 — DWSRF authorisation (5 yrs)</t>
  </si>
  <si>
    <t xml:space="preserve">$3.3bn/yr</t>
  </si>
  <si>
    <t xml:space="preserve">EPA CWNS — 20-year clean water needs</t>
  </si>
  <si>
    <t xml:space="preserve">2012 survey</t>
  </si>
  <si>
    <t xml:space="preserve">EPA CWNS (derived)</t>
  </si>
  <si>
    <t xml:space="preserve">DERIVED: 2022 total was +73% on 2012. Confirm against the 2012 report</t>
  </si>
  <si>
    <t xml:space="preserve">2022 survey</t>
  </si>
  <si>
    <t xml:space="preserve">Facility-level data downloadable at sdwis.epa.gov/ords/sfdw_pub/r/sfdw/cwns_pub/data-download</t>
  </si>
  <si>
    <t xml:space="preserve">EPA DWINSA — 20-year drinking water needs</t>
  </si>
  <si>
    <t xml:space="preserve">6th (2018)</t>
  </si>
  <si>
    <t xml:space="preserve">EPA DWINSA 6th</t>
  </si>
  <si>
    <t xml:space="preserve">EPA report to Congress</t>
  </si>
  <si>
    <t xml:space="preserve">7th (2023)</t>
  </si>
  <si>
    <t xml:space="preserve">EPA DWINSA 7th</t>
  </si>
  <si>
    <t xml:space="preserve">Jan-2021 dollars; $648.8bn in 2022 dollars per CRS R47878</t>
  </si>
  <si>
    <t xml:space="preserve">ASCE — water sector investment gap</t>
  </si>
  <si>
    <t xml:space="preserve">2021</t>
  </si>
  <si>
    <t xml:space="preserve">ASCE Failure to Act</t>
  </si>
  <si>
    <t xml:space="preserve">ASCE economic study</t>
  </si>
  <si>
    <t xml:space="preserve">ASCE Bridging the Gap</t>
  </si>
  <si>
    <t xml:space="preserve">AWWA — 25-year drinking water needs</t>
  </si>
  <si>
    <t xml:space="preserve">2012 (Buried No Longer)</t>
  </si>
  <si>
    <t xml:space="preserve">'will top $1 trillion over 25 years'</t>
  </si>
  <si>
    <t xml:space="preserve">2026 (Beyond the Replacement Era)</t>
  </si>
  <si>
    <t xml:space="preserve">Midpoint of $2.1-2.4tn, 2025 dollars</t>
  </si>
  <si>
    <t xml:space="preserve">Water main break rate</t>
  </si>
  <si>
    <t xml:space="preserve">2018 study</t>
  </si>
  <si>
    <t xml:space="preserve">per 100 mi/yr</t>
  </si>
  <si>
    <t xml:space="preserve">Utah State University</t>
  </si>
  <si>
    <t xml:space="preserve">USU Buried Structures Laboratory</t>
  </si>
  <si>
    <t xml:space="preserve">2023 study</t>
  </si>
  <si>
    <t xml:space="preserve">802 utilities, ~400,000 miles. -20.7% vs 2018</t>
  </si>
  <si>
    <t xml:space="preserve">Cast iron + asbestos cement share of installed mains</t>
  </si>
  <si>
    <t xml:space="preserve">-8pts in five years</t>
  </si>
  <si>
    <t xml:space="preserve">Average age of US water pipes</t>
  </si>
  <si>
    <t xml:space="preserve">1970</t>
  </si>
  <si>
    <t xml:space="preserve">Per capita water withdrawal</t>
  </si>
  <si>
    <t xml:space="preserve">USGS publishes a five-yearly national compilation</t>
  </si>
  <si>
    <t xml:space="preserve">Five-yearly series</t>
  </si>
  <si>
    <t xml:space="preserve">Public-supply domestic per capita use</t>
  </si>
  <si>
    <t xml:space="preserve">Circular 1441</t>
  </si>
  <si>
    <t xml:space="preserve">Total US water withdrawals</t>
  </si>
  <si>
    <t xml:space="preserve">-9% vs 2010</t>
  </si>
  <si>
    <t xml:space="preserve">US water + sewer bill increase</t>
  </si>
  <si>
    <t xml:space="preserve">Bluefield Research rate index (50 cities)</t>
  </si>
  <si>
    <t xml:space="preserve">Subscription series</t>
  </si>
  <si>
    <t xml:space="preserve">Subscription</t>
  </si>
  <si>
    <t xml:space="preserve">Non-revenue water — lost revenue</t>
  </si>
  <si>
    <t xml:space="preserve">Quarterly Data — As Far Back As Available</t>
  </si>
  <si>
    <t xml:space="preserve">Downloaded from Quartr. One row per reported quarter; $m unless stated. Filter with the header row.</t>
  </si>
  <si>
    <t xml:space="preserve">Fiscal quarter</t>
  </si>
  <si>
    <t xml:space="preserve">Diluted EPS</t>
  </si>
  <si>
    <t xml:space="preserve">TTM net sales</t>
  </si>
  <si>
    <t xml:space="preserve">Q2 FY2021</t>
  </si>
  <si>
    <t xml:space="preserve">2021-08-01</t>
  </si>
  <si>
    <t xml:space="preserve">2021-09-14</t>
  </si>
  <si>
    <t xml:space="preserve">report</t>
  </si>
  <si>
    <t xml:space="preserve">Q3 FY2021</t>
  </si>
  <si>
    <t xml:space="preserve">2021-10-31</t>
  </si>
  <si>
    <t xml:space="preserve">2021-12-07</t>
  </si>
  <si>
    <t xml:space="preserve">Q4 FY2021</t>
  </si>
  <si>
    <t xml:space="preserve">2022-03-30</t>
  </si>
  <si>
    <t xml:space="preserve">Q1 FY2022</t>
  </si>
  <si>
    <t xml:space="preserve">2022-05-01</t>
  </si>
  <si>
    <t xml:space="preserve">2022-06-14</t>
  </si>
  <si>
    <t xml:space="preserve">Q2 FY2022</t>
  </si>
  <si>
    <t xml:space="preserve">2022-09-13</t>
  </si>
  <si>
    <t xml:space="preserve">Q3 FY2022</t>
  </si>
  <si>
    <t xml:space="preserve">2022-10-30</t>
  </si>
  <si>
    <t xml:space="preserve">2022-12-13</t>
  </si>
  <si>
    <t xml:space="preserve">Q4 FY2022</t>
  </si>
  <si>
    <t xml:space="preserve">2023-03-28</t>
  </si>
  <si>
    <t xml:space="preserve">Q1 FY2023</t>
  </si>
  <si>
    <t xml:space="preserve">2023-04-30</t>
  </si>
  <si>
    <t xml:space="preserve">2023-06-06</t>
  </si>
  <si>
    <t xml:space="preserve">Q2 FY2023</t>
  </si>
  <si>
    <t xml:space="preserve">2023-07-30</t>
  </si>
  <si>
    <t xml:space="preserve">2023-09-06</t>
  </si>
  <si>
    <t xml:space="preserve">Q3 FY2023</t>
  </si>
  <si>
    <t xml:space="preserve">2023-10-29</t>
  </si>
  <si>
    <t xml:space="preserve">2023-12-05</t>
  </si>
  <si>
    <t xml:space="preserve">Q4 FY2023</t>
  </si>
  <si>
    <t xml:space="preserve">2024-03-19</t>
  </si>
  <si>
    <t xml:space="preserve">Q1 FY2024</t>
  </si>
  <si>
    <t xml:space="preserve">2024-05-05</t>
  </si>
  <si>
    <t xml:space="preserve">2024-06-04</t>
  </si>
  <si>
    <t xml:space="preserve">Q2 FY2024</t>
  </si>
  <si>
    <t xml:space="preserve">2024-08-04</t>
  </si>
  <si>
    <t xml:space="preserve">2024-09-04</t>
  </si>
  <si>
    <t xml:space="preserve">Q3 FY2024</t>
  </si>
  <si>
    <t xml:space="preserve">2024-11-03</t>
  </si>
  <si>
    <t xml:space="preserve">2024-12-03</t>
  </si>
  <si>
    <t xml:space="preserve">Q4 FY2024</t>
  </si>
  <si>
    <t xml:space="preserve">2025-03-25</t>
  </si>
  <si>
    <t xml:space="preserve">Q1 FY2025</t>
  </si>
  <si>
    <t xml:space="preserve">2025-05-04</t>
  </si>
  <si>
    <t xml:space="preserve">2025-06-10</t>
  </si>
  <si>
    <t xml:space="preserve">Q2 FY2025</t>
  </si>
  <si>
    <t xml:space="preserve">2025-08-03</t>
  </si>
  <si>
    <t xml:space="preserve">2025-09-09</t>
  </si>
  <si>
    <t xml:space="preserve">Q3 FY2025</t>
  </si>
  <si>
    <t xml:space="preserve">2025-11-02</t>
  </si>
  <si>
    <t xml:space="preserve">2025-12-09</t>
  </si>
  <si>
    <t xml:space="preserve">Q4 FY2025</t>
  </si>
  <si>
    <t xml:space="preserve">2026-03-24</t>
  </si>
  <si>
    <t xml:space="preserve">Q1 FY2026</t>
  </si>
  <si>
    <t xml:space="preserve">2026-05-03</t>
  </si>
  <si>
    <t xml:space="preserve">2026-06-10</t>
  </si>
  <si>
    <t xml:space="preserve">Cross-foot check — quarters against the reported annual</t>
  </si>
  <si>
    <t xml:space="preserve">Fiscal year</t>
  </si>
  <si>
    <t xml:space="preserve">Sum of quarters</t>
  </si>
  <si>
    <t xml:space="preserve">Reported annual</t>
  </si>
  <si>
    <t xml:space="preserve">Difference</t>
  </si>
  <si>
    <t xml:space="preserve">Verdict</t>
  </si>
  <si>
    <t xml:space="preserve">Core &amp; Main's fiscal 2021 is not shown here: Quartr's quarterly coverage starts at Q2 FY2021, so the four quarters do not sum to that year. From FY2022 onward every year ties exactly.</t>
  </si>
  <si>
    <t xml:space="preserve">Ferguson (FERG)</t>
  </si>
  <si>
    <t xml:space="preserve">Ferguson reported on a UK half-year basis before its US primary listing. In the vendor feed the pre-FY2022 'Q2' and 'Q4' rows are CUMULATIVE half-year and full-year figures, not discrete quarters, and are excluded below. Discrete quarterly reporting begins with the quarter ended 31 October 2021, and every fiscal year from FY2022 ties exactly to the reported annual.</t>
  </si>
  <si>
    <t xml:space="preserve">Q1 2022</t>
  </si>
  <si>
    <t xml:space="preserve">Q2 2022</t>
  </si>
  <si>
    <t xml:space="preserve">2022-03-15</t>
  </si>
  <si>
    <t xml:space="preserve">Q3 2022</t>
  </si>
  <si>
    <t xml:space="preserve">Q4 2022</t>
  </si>
  <si>
    <t xml:space="preserve">2022-09-27</t>
  </si>
  <si>
    <t xml:space="preserve">Q1 2023</t>
  </si>
  <si>
    <t xml:space="preserve">2022-12-06</t>
  </si>
  <si>
    <t xml:space="preserve">Q2 2023</t>
  </si>
  <si>
    <t xml:space="preserve">2023-03-07</t>
  </si>
  <si>
    <t xml:space="preserve">Q3 2023</t>
  </si>
  <si>
    <t xml:space="preserve">Q4 2023</t>
  </si>
  <si>
    <t xml:space="preserve">2023-09-26</t>
  </si>
  <si>
    <t xml:space="preserve">Q1 2024</t>
  </si>
  <si>
    <t xml:space="preserve">Q2 2024</t>
  </si>
  <si>
    <t xml:space="preserve">2024-03-05</t>
  </si>
  <si>
    <t xml:space="preserve">Q3 2024</t>
  </si>
  <si>
    <t xml:space="preserve">Q4 2024</t>
  </si>
  <si>
    <t xml:space="preserve">2024-09-17</t>
  </si>
  <si>
    <t xml:space="preserve">Q1 2025</t>
  </si>
  <si>
    <t xml:space="preserve">2024-12-10</t>
  </si>
  <si>
    <t xml:space="preserve">Q2 2025</t>
  </si>
  <si>
    <t xml:space="preserve">2025-03-11</t>
  </si>
  <si>
    <t xml:space="preserve">Q3 2025</t>
  </si>
  <si>
    <t xml:space="preserve">2025-06-03</t>
  </si>
  <si>
    <t xml:space="preserve">Q4 2025</t>
  </si>
  <si>
    <t xml:space="preserve">2025-09-16</t>
  </si>
  <si>
    <t xml:space="preserve">Transition Q</t>
  </si>
  <si>
    <t xml:space="preserve">2026-02-24</t>
  </si>
  <si>
    <t xml:space="preserve">Q1 2026</t>
  </si>
  <si>
    <t xml:space="preserve">2026-05-05</t>
  </si>
  <si>
    <t xml:space="preserve">Q2 2026</t>
  </si>
  <si>
    <t xml:space="preserve">2026-08-10</t>
  </si>
  <si>
    <t xml:space="preserve">The 'Transition Q' row is the quarter ended 31 October 2025, reported inside Ferguson's transition period as it moved to a calendar year end. It sits outside both FY2025 and CY2026 and is therefore excluded from the cross-foot checks above.</t>
  </si>
  <si>
    <t xml:space="preserve">Note on precision</t>
  </si>
  <si>
    <t xml:space="preserve">Core &amp; Main's Q1 FY2026 and Q1 FY2025 net sales both round to $1.91bn and the vendor feed and the company's own deck differ by $1m on which quarter is which. The comparison is flat either way. Where a single million matters, go to the 10-Q linked in the Source column.</t>
  </si>
  <si>
    <t xml:space="preserve">Time-Series Links</t>
  </si>
  <si>
    <t xml:space="preserve">Direct download endpoints. FRED CSV needs no API key. Run data/fetch_series.py to pull them all.</t>
  </si>
  <si>
    <t xml:space="preserve">NOT VERIFIED LIVE. Every FRED series ID below was confirmed against its FRED series page, but could not be fetched from the build environment (egress allowlist blocks fred.stlouisfed.org). Run  python3 data/fetch_series.py --check  on a networked machine to validate every ID and name any that fail.</t>
  </si>
  <si>
    <t xml:space="preserve">FRED series — one command downloads all of them</t>
  </si>
  <si>
    <t xml:space="preserve">Group</t>
  </si>
  <si>
    <t xml:space="preserve">Description</t>
  </si>
  <si>
    <t xml:space="preserve">Series ID</t>
  </si>
  <si>
    <t xml:space="preserve">Frequency</t>
  </si>
  <si>
    <t xml:space="preserve">Units</t>
  </si>
  <si>
    <t xml:space="preserve">From</t>
  </si>
  <si>
    <t xml:space="preserve">CSV</t>
  </si>
  <si>
    <t xml:space="preserve">Why it matters</t>
  </si>
  <si>
    <t xml:space="preserve">Construction spending</t>
  </si>
  <si>
    <t xml:space="preserve">Total Construction Spending: Water Supply</t>
  </si>
  <si>
    <t xml:space="preserve">TLWSCON</t>
  </si>
  <si>
    <t xml:space="preserve">Monthly</t>
  </si>
  <si>
    <t xml:space="preserve">$m, NSA</t>
  </si>
  <si>
    <t xml:space="preserve">2002</t>
  </si>
  <si>
    <t xml:space="preserve">csv</t>
  </si>
  <si>
    <t xml:space="preserve">Sum 12 months for a true annual figure. The headline water supply series.</t>
  </si>
  <si>
    <t xml:space="preserve">TLWSCONS</t>
  </si>
  <si>
    <t xml:space="preserve">$m, SAAR</t>
  </si>
  <si>
    <t xml:space="preserve">Seasonally adjusted annual rate — the figure quoted in this analysis.</t>
  </si>
  <si>
    <t xml:space="preserve">Total Public Construction Spending: Water Supply</t>
  </si>
  <si>
    <t xml:space="preserve">PBWSCON</t>
  </si>
  <si>
    <t xml:space="preserve">Public only. Private = total less public.</t>
  </si>
  <si>
    <t xml:space="preserve">PBWSCONS</t>
  </si>
  <si>
    <t xml:space="preserve">Public only, SAAR.</t>
  </si>
  <si>
    <t xml:space="preserve">Total Construction Spending: Sewage and Waste Disposal</t>
  </si>
  <si>
    <t xml:space="preserve">TLSWDCON</t>
  </si>
  <si>
    <t xml:space="preserve">CAUTION: bundles solid waste facilities with sewerage.</t>
  </si>
  <si>
    <t xml:space="preserve">TLSWDCONS</t>
  </si>
  <si>
    <t xml:space="preserve">Same caution. This is the $54.3bn figure in the analysis.</t>
  </si>
  <si>
    <t xml:space="preserve">Total Public Construction Spending: Sewage and Waste Disposal</t>
  </si>
  <si>
    <t xml:space="preserve">PBSWGCON</t>
  </si>
  <si>
    <t xml:space="preserve">Public only.</t>
  </si>
  <si>
    <t xml:space="preserve">PBSWGCONS</t>
  </si>
  <si>
    <t xml:space="preserve">MPCP14XXS</t>
  </si>
  <si>
    <t xml:space="preserve">Census alternate identifier for the same concept — cross-check.</t>
  </si>
  <si>
    <t xml:space="preserve">MPCP13XXS</t>
  </si>
  <si>
    <t xml:space="preserve">Census alternate identifier — cross-check.</t>
  </si>
  <si>
    <t xml:space="preserve">Water rates (CPI)</t>
  </si>
  <si>
    <t xml:space="preserve">CPI-U: Water and Sewer and Trash Collection Services</t>
  </si>
  <si>
    <t xml:space="preserve">CUSR0000SEHG</t>
  </si>
  <si>
    <t xml:space="preserve">Index, SA</t>
  </si>
  <si>
    <t xml:space="preserve">1983</t>
  </si>
  <si>
    <t xml:space="preserve">THE key public series for the rate thesis. Monthly, back to 1983, free.</t>
  </si>
  <si>
    <t xml:space="preserve">CUUR0000SEHG</t>
  </si>
  <si>
    <t xml:space="preserve">Index, NSA</t>
  </si>
  <si>
    <t xml:space="preserve">Not seasonally adjusted version.</t>
  </si>
  <si>
    <t xml:space="preserve">CPI-U: Water and Sewerage Maintenance</t>
  </si>
  <si>
    <t xml:space="preserve">CUSR0000SEHG01</t>
  </si>
  <si>
    <t xml:space="preserve">Narrower — excludes trash collection. Closer to a pure water/sewer rate index.</t>
  </si>
  <si>
    <t xml:space="preserve">CPI-W: Water and Sewer and Trash Collection Services</t>
  </si>
  <si>
    <t xml:space="preserve">CWSR0000SEHG</t>
  </si>
  <si>
    <t xml:space="preserve">Wage-earner basket version.</t>
  </si>
  <si>
    <t xml:space="preserve">CPI-U: All Items</t>
  </si>
  <si>
    <t xml:space="preserve">CPIAUCSL</t>
  </si>
  <si>
    <t xml:space="preserve">1947</t>
  </si>
  <si>
    <t xml:space="preserve">Denominator — use to show water rates outpacing general inflation.</t>
  </si>
  <si>
    <t xml:space="preserve">Pipe prices (PPI)</t>
  </si>
  <si>
    <t xml:space="preserve">PPI: Plastics Water Pipe</t>
  </si>
  <si>
    <t xml:space="preserve">WPU072106033</t>
  </si>
  <si>
    <t xml:space="preserve">Index</t>
  </si>
  <si>
    <t xml:space="preserve">varies</t>
  </si>
  <si>
    <t xml:space="preserve">THE direct read on the PVC deflation both CNM and FERG flagged.</t>
  </si>
  <si>
    <t xml:space="preserve">PPI by Industry: Plastics Sewer, Stormdrain, and Water Main Pipe</t>
  </si>
  <si>
    <t xml:space="preserve">PCU32612232612218</t>
  </si>
  <si>
    <t xml:space="preserve">Industry-based cut of the same product. Most precisely scoped series available.</t>
  </si>
  <si>
    <t xml:space="preserve">PPI: Plastics Pipe Fittings and Unions</t>
  </si>
  <si>
    <t xml:space="preserve">WPU07210604</t>
  </si>
  <si>
    <t xml:space="preserve">Fittings, which carry different margin than pipe.</t>
  </si>
  <si>
    <t xml:space="preserve">PPI by Industry: Plastics Pipe Fittings and Unions</t>
  </si>
  <si>
    <t xml:space="preserve">PCU3261223261223</t>
  </si>
  <si>
    <t xml:space="preserve">Industry-based cut of fittings.</t>
  </si>
  <si>
    <t xml:space="preserve">PPI: Ductile Iron Pressure Pipe and Fittings</t>
  </si>
  <si>
    <t xml:space="preserve">WPU10150211</t>
  </si>
  <si>
    <t xml:space="preserve">The other half of the pipe basket. Ductile iron is 29% of installed mains.</t>
  </si>
  <si>
    <t xml:space="preserve">PPI: Pressure and Soil Pipe and Fittings, Cast Iron</t>
  </si>
  <si>
    <t xml:space="preserve">WPU101502</t>
  </si>
  <si>
    <t xml:space="preserve">Broader cast iron aggregate.</t>
  </si>
  <si>
    <t xml:space="preserve">PPI: Pressure Pipe and Fittings, Cast Iron</t>
  </si>
  <si>
    <t xml:space="preserve">WPU1015021</t>
  </si>
  <si>
    <t xml:space="preserve">Narrower cast iron cut.</t>
  </si>
  <si>
    <t xml:space="preserve">PPI: Cast Iron Pressure and Soil Pipe and Fittings, Except Ductile Pressure Pipe</t>
  </si>
  <si>
    <t xml:space="preserve">WPU10150227</t>
  </si>
  <si>
    <t xml:space="preserve">Cast iron excluding ductile — cleanest split.</t>
  </si>
  <si>
    <t xml:space="preserve">Multiple series in one request: https://fred.stlouisfed.org/graph/fredgraph.csv?id=ID1,ID2,ID3</t>
  </si>
  <si>
    <t xml:space="preserve">Bulk data portals and primary documents</t>
  </si>
  <si>
    <t xml:space="preserve">Link</t>
  </si>
  <si>
    <t xml:space="preserve">Public spending</t>
  </si>
  <si>
    <t xml:space="preserve">CBO — Public Spending on Transportation and Water Infrastructure, 1956-2023</t>
  </si>
  <si>
    <t xml:space="preserve">XLSX supplementary workbook</t>
  </si>
  <si>
    <t xml:space="preserve">1956-2023 annual</t>
  </si>
  <si>
    <t xml:space="preserve">open</t>
  </si>
  <si>
    <t xml:space="preserve">THE anchor source. The page carries a supplementary data workbook with the full annual series by mode, split capital vs operations &amp; maintenance and federal vs state/local. This is where the $59bn water utilities capital figure comes from.</t>
  </si>
  <si>
    <t xml:space="preserve">Census Bureau — Construction Spending (C30) historical time series</t>
  </si>
  <si>
    <t xml:space="preserve">XLSX / CSV</t>
  </si>
  <si>
    <t xml:space="preserve">1993- monthly</t>
  </si>
  <si>
    <t xml:space="preserve">Official source behind the FRED construction series. Longer history than FRED for some cuts.</t>
  </si>
  <si>
    <t xml:space="preserve">Census Bureau — Construction Spending landing page</t>
  </si>
  <si>
    <t xml:space="preserve">PDF / XLSX</t>
  </si>
  <si>
    <t xml:space="preserve">Monthly releases</t>
  </si>
  <si>
    <t xml:space="preserve">Monthly release tables including water supply and sewage &amp; waste disposal.</t>
  </si>
  <si>
    <t xml:space="preserve">US Conference of Mayors — 2025 Public Infrastructure Spending</t>
  </si>
  <si>
    <t xml:space="preserve">PDF</t>
  </si>
  <si>
    <t xml:space="preserve">Local-government-only capital spending on sewer and water supply, cumulative and annual.</t>
  </si>
  <si>
    <t xml:space="preserve">Federal programmes</t>
  </si>
  <si>
    <t xml:space="preserve">CRS IF13177 — FY2026 Appropriations for EPA Water Infrastructure Programs</t>
  </si>
  <si>
    <t xml:space="preserve">PDF / HTML</t>
  </si>
  <si>
    <t xml:space="preserve">FY2025-FY2026</t>
  </si>
  <si>
    <t xml:space="preserve">Table 1 has enacted appropriations by programme. The clean source for the SRF fiscal-year series.</t>
  </si>
  <si>
    <t xml:space="preserve">CRS IF12950 — EPA Water Infrastructure Programs and FY2025 Appropriations</t>
  </si>
  <si>
    <t xml:space="preserve">FY2024-FY2025</t>
  </si>
  <si>
    <t xml:space="preserve">Table 1.</t>
  </si>
  <si>
    <t xml:space="preserve">CRS R47474 — Clean Water SRF Allotment Formula</t>
  </si>
  <si>
    <t xml:space="preserve">Historical</t>
  </si>
  <si>
    <t xml:space="preserve">Longer-run CWSRF appropriations history and the 1987 allotment formula.</t>
  </si>
  <si>
    <t xml:space="preserve">CRS R47878 — Drinking Water Infrastructure Needs</t>
  </si>
  <si>
    <t xml:space="preserve">DWINSA vintages</t>
  </si>
  <si>
    <t xml:space="preserve">Restates DWINSA in 2022 dollars ($648.8bn).</t>
  </si>
  <si>
    <t xml:space="preserve">CRS R48565 — Wastewater Infrastructure Funding</t>
  </si>
  <si>
    <t xml:space="preserve">EPA wastewater needs table and affordability analysis.</t>
  </si>
  <si>
    <t xml:space="preserve">EPA — WIFIA closed loans</t>
  </si>
  <si>
    <t xml:space="preserve">HTML list</t>
  </si>
  <si>
    <t xml:space="preserve">2018-</t>
  </si>
  <si>
    <t xml:space="preserve">Loan-by-loan record: borrower, amount, project value, close date.</t>
  </si>
  <si>
    <t xml:space="preserve">EPA — Water Infrastructure Investments (BIL/IIJA)</t>
  </si>
  <si>
    <t xml:space="preserve">HTML / PDF</t>
  </si>
  <si>
    <t xml:space="preserve">FY2022-FY2026</t>
  </si>
  <si>
    <t xml:space="preserve">IIJA allocation by pot and by state.</t>
  </si>
  <si>
    <t xml:space="preserve">Needs surveys</t>
  </si>
  <si>
    <t xml:space="preserve">EPA CWNS 2022 — facility-level data download</t>
  </si>
  <si>
    <t xml:space="preserve">CSV / MS Access</t>
  </si>
  <si>
    <t xml:space="preserve">GENUINELY DOWNLOADABLE AND FACILITY-LEVEL. Every table as CSV, nationwide or by state, with a data dictionary. The single richest free dataset in the sector.</t>
  </si>
  <si>
    <t xml:space="preserve">EPA CWNS — report and data landing page</t>
  </si>
  <si>
    <t xml:space="preserve">PDF / dashboard</t>
  </si>
  <si>
    <t xml:space="preserve">1984-2022</t>
  </si>
  <si>
    <t xml:space="preserve">Report to Congress plus the interactive needs dashboard.</t>
  </si>
  <si>
    <t xml:space="preserve">CUAHSI HydroShare — Clean Watersheds Needs Surveys 1984-2022</t>
  </si>
  <si>
    <t xml:space="preserve">Third-party archive converting the older Access-format surveys to CSV. Use for the long vintage series.</t>
  </si>
  <si>
    <t xml:space="preserve">EPA DWSRF — Drinking Water Infrastructure Needs Survey and Assessment</t>
  </si>
  <si>
    <t xml:space="preserve">1995-2023 (7 surveys)</t>
  </si>
  <si>
    <t xml:space="preserve">Reports to Congress. Underlying utility responses are not public.</t>
  </si>
  <si>
    <t xml:space="preserve">Technical</t>
  </si>
  <si>
    <t xml:space="preserve">USGS — Water Use in the United States</t>
  </si>
  <si>
    <t xml:space="preserve">CSV / PDF</t>
  </si>
  <si>
    <t xml:space="preserve">1950-2020, five-yearly</t>
  </si>
  <si>
    <t xml:space="preserve">National compilation by category and state. Circular 1441 is the 2015 edition.</t>
  </si>
  <si>
    <t xml:space="preserve">USU — Water Main Break Rates in the USA and Canada</t>
  </si>
  <si>
    <t xml:space="preserve">2012, 2018, 2023</t>
  </si>
  <si>
    <t xml:space="preserve">Three survey vintages. Break rate by material, pipe age distribution, material mix.</t>
  </si>
  <si>
    <t xml:space="preserve">PHMSA — By-Decade Inventory (gas and hazardous liquid pipelines)</t>
  </si>
  <si>
    <t xml:space="preserve">XLSX</t>
  </si>
  <si>
    <t xml:space="preserve">2005-</t>
  </si>
  <si>
    <t xml:space="preserve">Mileage by decade of installation. THE COMPARATOR: this is what water has no equivalent of.</t>
  </si>
  <si>
    <t xml:space="preserve">EPA SDWIS — Safe Drinking Water Information System</t>
  </si>
  <si>
    <t xml:space="preserve">HTML / CSV</t>
  </si>
  <si>
    <t xml:space="preserve">Current</t>
  </si>
  <si>
    <t xml:space="preserve">Compliance, violations and basic system inventory. NO pipe age or distribution asset data.</t>
  </si>
  <si>
    <t xml:space="preserve">Estimates</t>
  </si>
  <si>
    <t xml:space="preserve">ASCE — Bridging the Gap economic study</t>
  </si>
  <si>
    <t xml:space="preserve">$99bn/yr water sector gap.</t>
  </si>
  <si>
    <t xml:space="preserve">ASCE — 2025 Infrastructure Report Card</t>
  </si>
  <si>
    <t xml:space="preserve">Drinking water C-, wastewater D+.</t>
  </si>
  <si>
    <t xml:space="preserve">AWWA — Beyond the Replacement Era</t>
  </si>
  <si>
    <t xml:space="preserve">$2.1-2.4tn over 2026-2050.</t>
  </si>
  <si>
    <t xml:space="preserve">Bluefield Research — municipal water &amp; sewer rate index</t>
  </si>
  <si>
    <t xml:space="preserve">50 cities, annual</t>
  </si>
  <si>
    <t xml:space="preserve">PAID. The free public substitute is CPI series CUSR0000SEHG01.</t>
  </si>
  <si>
    <t xml:space="preserve">Utility &amp; company</t>
  </si>
  <si>
    <t xml:space="preserve">MSRB EMMA — municipal bond official statements and continuing disclosure</t>
  </si>
  <si>
    <t xml:space="preserve">1990-</t>
  </si>
  <si>
    <t xml:space="preserve">FREE. System descriptions with miles of main, material mix, age profile, CIP and rate history. The highest-density public source for utility-level asset and spending data.</t>
  </si>
  <si>
    <t xml:space="preserve">SEC EDGAR full-text search</t>
  </si>
  <si>
    <t xml:space="preserve">HTML / JSON API</t>
  </si>
  <si>
    <t xml:space="preserve">2001-</t>
  </si>
  <si>
    <t xml:space="preserve">Investor-owned water utility 10-Ks: replacement cycles, miles replaced, capital plans.</t>
  </si>
  <si>
    <t xml:space="preserve">Quartr — Core &amp; Main</t>
  </si>
  <si>
    <t xml:space="preserve">API / web</t>
  </si>
  <si>
    <t xml:space="preserve">FY2021-</t>
  </si>
  <si>
    <t xml:space="preserve">Source of every Core &amp; Main figure in this workbook.</t>
  </si>
  <si>
    <t xml:space="preserve">Quartr — Ferguson Enterprises</t>
  </si>
  <si>
    <t xml:space="preserve">FY2018-</t>
  </si>
  <si>
    <t xml:space="preserve">Source of every Ferguson figure in this workbook.</t>
  </si>
  <si>
    <t xml:space="preserve">Asset-level</t>
  </si>
  <si>
    <t xml:space="preserve">Seattle GeoData — water mains and services</t>
  </si>
  <si>
    <t xml:space="preserve">Shapefile / GeoJSON / CSV</t>
  </si>
  <si>
    <t xml:space="preserve">Segment-level main layer with installation year and material, plus a 'presumed unlined' layer.</t>
  </si>
  <si>
    <t xml:space="preserve">Open Data DC — DC Water main breaks</t>
  </si>
  <si>
    <t xml:space="preserve">CSV / GeoJSON</t>
  </si>
  <si>
    <t xml:space="preserve">Rolling 5 years</t>
  </si>
  <si>
    <t xml:space="preserve">Break location and date, updated weekly. The closest public proxy for repair history.</t>
  </si>
  <si>
    <t xml:space="preserve">data.gov — geospatial catalogue</t>
  </si>
  <si>
    <t xml:space="preserve">Various</t>
  </si>
  <si>
    <t xml:space="preserve">Federated search across city open-data portals for water main layers.</t>
  </si>
  <si>
    <t xml:space="preserve">New York State — Lead Service Line Inventory Map</t>
  </si>
  <si>
    <t xml:space="preserve">CSV / API</t>
  </si>
  <si>
    <t xml:space="preserve">2024-</t>
  </si>
  <si>
    <t xml:space="preserve">Socrata dataset — genuinely queryable service line material by location.</t>
  </si>
  <si>
    <t xml:space="preserve">Minnesota — Lead Infrastructure Transparency Tool</t>
  </si>
  <si>
    <t xml:space="preserve">Web map</t>
  </si>
  <si>
    <t xml:space="preserve">Address-level search.</t>
  </si>
  <si>
    <t xml:space="preserve">What is genuinely downloadable, ranked</t>
  </si>
  <si>
    <t xml:space="preserve">Rank</t>
  </si>
  <si>
    <t xml:space="preserve">What you get</t>
  </si>
  <si>
    <t xml:space="preserve">FRED</t>
  </si>
  <si>
    <t xml:space="preserve">Every series above, CSV, no key, one command.</t>
  </si>
  <si>
    <t xml:space="preserve">EPA CWNS 2022 facility-level data</t>
  </si>
  <si>
    <t xml:space="preserve">CSV or Access, nationwide or by state, with a data dictionary. The richest free dataset in the sector.</t>
  </si>
  <si>
    <t xml:space="preserve">The full 1956-2023 annual series by mode, capital vs O&amp;M, federal vs state/local. One XLSX behind publication 60874.</t>
  </si>
  <si>
    <t xml:space="preserve">Census C30 historical time series</t>
  </si>
  <si>
    <t xml:space="preserve">Monthly construction spending back to 1993.</t>
  </si>
  <si>
    <t xml:space="preserve">Municipal GIS portals</t>
  </si>
  <si>
    <t xml:space="preserve">Segment-level pipe age and material, utility by utility.</t>
  </si>
  <si>
    <t xml:space="preserve">MSRB EMMA</t>
  </si>
  <si>
    <t xml:space="preserve">Free, and the densest utility-level asset and capital-plan disclosure available.</t>
  </si>
  <si>
    <t xml:space="preserve">What is not downloadable</t>
  </si>
  <si>
    <t xml:space="preserve">Bluefield rate index</t>
  </si>
  <si>
    <t xml:space="preserve">SUBSCRIPTION</t>
  </si>
  <si>
    <t xml:space="preserve">Free substitute: FRED CUSR0000SEHG01 (CPI water and sewerage maintenance).</t>
  </si>
  <si>
    <t xml:space="preserve">EPA DWINSA underlying responses</t>
  </si>
  <si>
    <t xml:space="preserve">NOT PUBLISHED</t>
  </si>
  <si>
    <t xml:space="preserve">Aggregated national and state figures only.</t>
  </si>
  <si>
    <t xml:space="preserve">AWIA risk and resilience assessments</t>
  </si>
  <si>
    <t xml:space="preserve">Withheld on security grounds.</t>
  </si>
  <si>
    <t xml:space="preserve">PIPEiD</t>
  </si>
  <si>
    <t xml:space="preserve">SECURED PLATFORM</t>
  </si>
  <si>
    <t xml:space="preserve">Exists, but built for utility decision support, not open data.</t>
  </si>
  <si>
    <t xml:space="preserve">National water pipe age registry</t>
  </si>
  <si>
    <t xml:space="preserve">PHMSA's By-Decade Inventory is the gas-sector comparator showing exactly what water lacks.</t>
  </si>
  <si>
    <t xml:space="preserve">Evidence and What to Monitor</t>
  </si>
  <si>
    <t xml:space="preserve">Verbatim management commentary with deep links, the ranked monitoring list, and the tests that would falsify this analysis.</t>
  </si>
  <si>
    <t xml:space="preserve">Management commentary — verbatim, from the earnings calls</t>
  </si>
  <si>
    <t xml:space="preserve">Speaker</t>
  </si>
  <si>
    <t xml:space="preserve">Call</t>
  </si>
  <si>
    <t xml:space="preserve">Quotation</t>
  </si>
  <si>
    <t xml:space="preserve">Independent check</t>
  </si>
  <si>
    <t xml:space="preserve">Brad Cowles, President</t>
  </si>
  <si>
    <t xml:space="preserve">Core &amp; Main, Q1 FY2026, 10 Jun 2026</t>
  </si>
  <si>
    <t xml:space="preserve">“On IIJA, the remaining funding is expected to hit the state revolving funds this year. That doesn’t mean that there’s any cliff to the funding or there’s any end to the funding. A lot of the funding has already hit the state revolving funds. Only about a third or less of it has hit the municipality level yet. … A portion of that funding is in the grant form, and then the other portion is in low interest loans. A portion of that would get repaid back into those state revolving funds and used for future sources.”</t>
  </si>
  <si>
    <t xml:space="preserve">Drives the drawdown phasing on the Assumptions tab. Not independently verifiable — no public dataset tracks SRF disbursement to municipality level. Treat as management estimate.</t>
  </si>
  <si>
    <t xml:space="preserve">call</t>
  </si>
  <si>
    <t xml:space="preserve">Robyn Bradbury, CFO</t>
  </si>
  <si>
    <t xml:space="preserve">“95% of the funding that municipalities use for their water infrastructure is state and local, and we think that those are really strong. We’re seeing municipalities increase water rates to their customers to be able to afford some of the upgrades. We’re seeing municipal bond growth and the municipal bond issuance that’s going out there.”</t>
  </si>
  <si>
    <t xml:space="preserve">VERIFIES. CBO puts the state and local share at 92-96%; Bluefield measures 2025 rate growth at +5.1%. Management and third-party data agree — raises the confidence weighting.</t>
  </si>
  <si>
    <t xml:space="preserve">“This is just a sort of a non-discretionary investment that the municipalities they must do… We see it as a pretty durable long-term trend that is driving good growth for us.” (on treatment plant demand)</t>
  </si>
  <si>
    <t xml:space="preserve">Consistent with Bluefield: 79% of forecast treatment capex is rehabilitation of existing assets, not new build.</t>
  </si>
  <si>
    <t xml:space="preserve">Mark Witkowski, CEO</t>
  </si>
  <si>
    <t xml:space="preserve">“We’ve definitely been in a lull from an M&amp;A standpoint… What we have seen, I’d say more recently, is a pretty notable uptick in the pipeline.”</t>
  </si>
  <si>
    <t xml:space="preserve">Unverifiable forward statement. Watch completed deal announcements against it.</t>
  </si>
  <si>
    <t xml:space="preserve">Bill Brundage, CFO</t>
  </si>
  <si>
    <t xml:space="preserve">Ferguson, Q2 CY2026, 10 Aug 2026</t>
  </si>
  <si>
    <t xml:space="preserve">“PVC is still very much in deflation. If you look in the quarter, PVC is still down about in the double-digit range for the quarter. As a basket, commodities were about flat in the quarter.”</t>
  </si>
  <si>
    <t xml:space="preserve">Checkable monthly via FRED PPI series WPU072106033 (plastics water pipe) — see the Series Links tab.</t>
  </si>
  <si>
    <t xml:space="preserve">“The backlogs, the open orders continue to build, both if you look at commercial mechanical and industrial and even waterworks, which had a bit of a lumpier quarter this quarter… those backlogs continuing to be above what those growth rates were for the quarter.”</t>
  </si>
  <si>
    <t xml:space="preserve">Backlog is not disclosed as a number. Unverifiable — the reported +3% waterworks growth is the only hard datapoint.</t>
  </si>
  <si>
    <t xml:space="preserve">Kevin Murphy, CEO</t>
  </si>
  <si>
    <t xml:space="preserve">“We do see good, broad-based, large capital construction project growth. Data center construction activity continues to be the strength of that sector, but we’re also seeing good growth… in areas like power generation, in areas like chemical, food and beverage, general manufacturing, mining and minerals, obviously water and wastewater treatment.”</t>
  </si>
  <si>
    <t xml:space="preserve">Consistent with the reported segment table: Commercial/Mechanical +15%, Industrial +18%, Waterworks +3%.</t>
  </si>
  <si>
    <t xml:space="preserve">Quotations are transcribed from the Quartr transcripts of the calls named. The 'independent check' column states whether each claim can be verified against a third-party source, because a claim that cannot be checked should carry less weight than one that can — regardless of how confidently it was delivered.</t>
  </si>
  <si>
    <t xml:space="preserve">What to monitor, ranked by signal value</t>
  </si>
  <si>
    <t xml:space="preserve">Indicator</t>
  </si>
  <si>
    <t xml:space="preserve">Where</t>
  </si>
  <si>
    <t xml:space="preserve">1. Water and sewer rate growth</t>
  </si>
  <si>
    <t xml:space="preserve">95% of the funding. Ran +5.1% in 2025 and +24.2% over five years. A deceleration here matters more than anything Congress does. THE single most important series in this analysis.</t>
  </si>
  <si>
    <t xml:space="preserve">FRED CUSR0000SEHG01</t>
  </si>
  <si>
    <t xml:space="preserve">2. AWWA v. EPA (Lead and Copper Rule Improvements)</t>
  </si>
  <si>
    <t xml:space="preserve">Event</t>
  </si>
  <si>
    <t xml:space="preserve">Oral argument expected Fall 2026. The largest binary swing factor — an adverse ruling on utility-controlled line replacement removes a multi-billion dollar annual programme from the forecast.</t>
  </si>
  <si>
    <t xml:space="preserve">NRDC court tracker</t>
  </si>
  <si>
    <t xml:space="preserve">3. WRDA 2026 → appropriations</t>
  </si>
  <si>
    <t xml:space="preserve">Authorises $14bn/4yr CWSRF and $16.5bn/5yr DWSRF. Watch whether authorisation converts to appropriation; the FY2027 House bill proposes a 16% SRF cut.</t>
  </si>
  <si>
    <t xml:space="preserve">CRS IF13177</t>
  </si>
  <si>
    <t xml:space="preserve">4. Construction put in place — water supply and sewage</t>
  </si>
  <si>
    <t xml:space="preserve">Leads distributor revenue by roughly two to four quarters.</t>
  </si>
  <si>
    <t xml:space="preserve">FRED TLWSCONS / TLSWDCONS</t>
  </si>
  <si>
    <t xml:space="preserve">5. PVC / plastics water pipe PPI</t>
  </si>
  <si>
    <t xml:space="preserve">Determines whether reported revenue growth reflects volume or price. Currently masking municipal volume strength at both companies.</t>
  </si>
  <si>
    <t xml:space="preserve">FRED WPU072106033</t>
  </si>
  <si>
    <t xml:space="preserve">6. Municipal bond issuance, water and sewer</t>
  </si>
  <si>
    <t xml:space="preserve">Continuous</t>
  </si>
  <si>
    <t xml:space="preserve">The capital vehicle. Issuers deferred through the 2023-24 rate spike and have been returning.</t>
  </si>
  <si>
    <t xml:space="preserve">7. Residential construction</t>
  </si>
  <si>
    <t xml:space="preserve">18% of Core &amp; Main's mix and about half of Ferguson's US mix. The actual drag on both today — and far larger than the federal funding question.</t>
  </si>
  <si>
    <t xml:space="preserve">Census new residential construction</t>
  </si>
  <si>
    <t xml:space="preserve">8. Lead service line replacement plans</t>
  </si>
  <si>
    <t xml:space="preserve">Annual from Nov 2027</t>
  </si>
  <si>
    <t xml:space="preserve">The LCRI requires publicly accessible replacement plans, updated annually. First rolling public record of realised replacement pace.</t>
  </si>
  <si>
    <t xml:space="preserve">EPA / state inventories</t>
  </si>
  <si>
    <t xml:space="preserve">What would falsify this analysis</t>
  </si>
  <si>
    <t xml:space="preserve">The claim</t>
  </si>
  <si>
    <t xml:space="preserve">What would break it</t>
  </si>
  <si>
    <t xml:space="preserve">Where you would see it first</t>
  </si>
  <si>
    <t xml:space="preserve">The capital base is ~$68bn</t>
  </si>
  <si>
    <t xml:space="preserve">CBO's supplementary workbook showing water utilities capital materially away from $59bn in 2023, or a sewerage share of the Census category far from the assumed 65%.</t>
  </si>
  <si>
    <t xml:space="preserve">CBO publication 60874 workbook; Census C30 detail</t>
  </si>
  <si>
    <t xml:space="preserve">Market grows 3-5% nominal through 2035</t>
  </si>
  <si>
    <t xml:space="preserve">Rate growth falling below ~3% for two consecutive years, which would break the organic growth assumption that does most of the work in the model.</t>
  </si>
  <si>
    <t xml:space="preserve">FRED CUSR0000SEHG01, year on year</t>
  </si>
  <si>
    <t xml:space="preserve">The IIJA cliff is worth under 100bps to either company</t>
  </si>
  <si>
    <t xml:space="preserve">Municipal revenue growth at Core &amp; Main decelerating by more than ~2 points in 2029-30 without a residential or pricing explanation.</t>
  </si>
  <si>
    <t xml:space="preserve">CNM quarterly municipal end-market commentary</t>
  </si>
  <si>
    <t xml:space="preserve">Replacement demand is regulation-driven, not failure-driven</t>
  </si>
  <si>
    <t xml:space="preserve">An adverse AWWA v. EPA ruling followed by no slowdown in municipal volumes — which would mean decay, not mandates, was driving the spend after all.</t>
  </si>
  <si>
    <t xml:space="preserve">Court ruling, then two to three quarters of CNM municipal growth</t>
  </si>
  <si>
    <t xml:space="preserve">The network is getting more reliable, not less</t>
  </si>
  <si>
    <t xml:space="preserve">A fourth USU survey showing break rates rising again from the 2023 level of 11.1 per 100 miles.</t>
  </si>
  <si>
    <t xml:space="preserve">USU Buried Structures Laboratory, next survey vintage</t>
  </si>
  <si>
    <t xml:space="preserve">Both companies out-grow the market via share and M&amp;A</t>
  </si>
  <si>
    <t xml:space="preserve">Organic growth persistently at or below the 3-5% market rate with no acceleration from treatment plant and metering.</t>
  </si>
  <si>
    <t xml:space="preserve">CNM initiative disclosure; FERG waterworks growth vs US non-resi</t>
  </si>
  <si>
    <t xml:space="preserve">Sources and Known Biases</t>
  </si>
  <si>
    <t xml:space="preserve">Every source with the interest of the party that produced it, so the reader can discount accordingly.</t>
  </si>
  <si>
    <t xml:space="preserve">Public spending — historical</t>
  </si>
  <si>
    <t xml:space="preserve">Document</t>
  </si>
  <si>
    <t xml:space="preserve">Date</t>
  </si>
  <si>
    <t xml:space="preserve">Known interest / bias</t>
  </si>
  <si>
    <t xml:space="preserve">Public Spending on Transportation and Water Infrastructure, 1956 to 2023</t>
  </si>
  <si>
    <t xml:space="preserve">Feb 2025</t>
  </si>
  <si>
    <t xml:space="preserve">Non-partisan scorekeeper — the most neutral source in the sector. Caveat: 'water utilities' bundles supply and wastewater and includes O&amp;M.</t>
  </si>
  <si>
    <t xml:space="preserve">USAFacts</t>
  </si>
  <si>
    <t xml:space="preserve">Summary of the CBO series</t>
  </si>
  <si>
    <t xml:space="preserve">Non-partisan aggregator. Used for the modal and capital/O&amp;M breakdown.</t>
  </si>
  <si>
    <t xml:space="preserve">US Census Bureau</t>
  </si>
  <si>
    <t xml:space="preserve">Value of Construction Put in Place (C30)</t>
  </si>
  <si>
    <t xml:space="preserve">Official statistics, no advocacy. Caveat: 'sewage and waste disposal' bundles solid waste with sewerage, overstating the wastewater component.</t>
  </si>
  <si>
    <t xml:space="preserve">2025 Public Infrastructure Spending</t>
  </si>
  <si>
    <t xml:space="preserve">Municipal advocacy organisation — interest in demonstrating local fiscal burden.</t>
  </si>
  <si>
    <t xml:space="preserve">IF13177 — FY2026 Appropriations for EPA Water Infrastructure Programs</t>
  </si>
  <si>
    <t xml:space="preserve">Non-partisan congressional research. High reliability.</t>
  </si>
  <si>
    <t xml:space="preserve">R48565 — Wastewater Infrastructure Funding</t>
  </si>
  <si>
    <t xml:space="preserve">Same.</t>
  </si>
  <si>
    <t xml:space="preserve">R47878 — Drinking Water Infrastructure Needs</t>
  </si>
  <si>
    <t xml:space="preserve">Same. Source of the $648.8bn (2022 dollars) restatement of DWINSA.</t>
  </si>
  <si>
    <t xml:space="preserve">Water Infrastructure Investments; BIL fact sheets; WIFIA announcements</t>
  </si>
  <si>
    <t xml:space="preserve">2021-26</t>
  </si>
  <si>
    <t xml:space="preserve">Agency communicating its own programme — presents funding favourably.</t>
  </si>
  <si>
    <t xml:space="preserve">Water infrastructure funding cliff advocacy</t>
  </si>
  <si>
    <t xml:space="preserve">ADVOCACY — lobbying to extend federal funding. Source of the $2.7bn to $11.4bn framing; directionally verifiable but framed to maximise the cliff.</t>
  </si>
  <si>
    <t xml:space="preserve">Water Resources Development Act of 2026</t>
  </si>
  <si>
    <t xml:space="preserve">Jul 2026</t>
  </si>
  <si>
    <t xml:space="preserve">Primary legislative source. Authorisation is not appropriation.</t>
  </si>
  <si>
    <t xml:space="preserve">Needs estimates and forecasts</t>
  </si>
  <si>
    <t xml:space="preserve">7th Drinking Water Infrastructure Needs Survey and Assessment</t>
  </si>
  <si>
    <t xml:space="preserve">Sep 2023</t>
  </si>
  <si>
    <t xml:space="preserve">ALLOCATION INSTRUMENT. States self-report and the results drive their own funding formula — a structural incentive to report high. EPA concedes transmission and distribution is undercounted.</t>
  </si>
  <si>
    <t xml:space="preserve">Clean Watersheds Needs Survey 2022</t>
  </si>
  <si>
    <t xml:space="preserve">Apr 2024</t>
  </si>
  <si>
    <t xml:space="preserve">Same structure. First survey with 100% state participation, which mechanically inflates the year-on-year increase.</t>
  </si>
  <si>
    <t xml:space="preserve">GAO</t>
  </si>
  <si>
    <t xml:space="preserve">GAO-24-106251</t>
  </si>
  <si>
    <t xml:space="preserve">Independent auditor. CRITICAL of EPA's needs estimate and the 1987 CWSRF allocation formula. Used here as the counterweight.</t>
  </si>
  <si>
    <t xml:space="preserve">EPA Office of Inspector General</t>
  </si>
  <si>
    <t xml:space="preserve">Report on 7th DWINSA lead service line allotments</t>
  </si>
  <si>
    <t xml:space="preserve">Independent internal auditor. Also critical.</t>
  </si>
  <si>
    <t xml:space="preserve">2025 Infrastructure Report Card — drinking water C-, wastewater D+</t>
  </si>
  <si>
    <t xml:space="preserve">Mar 2025</t>
  </si>
  <si>
    <t xml:space="preserve">PROFESSIONAL SOCIETY OF CIVIL ENGINEERS. Direct commercial interest in higher infrastructure spending. Grading methodology not externally audited.</t>
  </si>
  <si>
    <t xml:space="preserve">Bridging the Gap — $99bn/yr water gap</t>
  </si>
  <si>
    <t xml:space="preserve">Same. Uses a broader 'economic need' definition not comparable to EPA's eligible-need definition.</t>
  </si>
  <si>
    <t xml:space="preserve">Beyond the Replacement Era — $2.1-2.4tn / 25yr</t>
  </si>
  <si>
    <t xml:space="preserve">Mar 2026</t>
  </si>
  <si>
    <t xml:space="preserve">WATER UTILITY TRADE ASSOCIATION. Interest in federal funding and in justifying rate increases to regulators. Broadest definition of the four; the 168% required increase should be read as a bargaining position.</t>
  </si>
  <si>
    <t xml:space="preserve">Treatment capex, pipe capex, rate index, non-revenue water</t>
  </si>
  <si>
    <t xml:space="preserve">2025-26</t>
  </si>
  <si>
    <t xml:space="preserve">COMMERCIAL MARKET RESEARCH sold to vendors and investors. Interest in a large addressable market, but methodology is bottom-up from project pipelines and is the closest to a revenue-relevant forecast.</t>
  </si>
  <si>
    <t xml:space="preserve">McKinsey</t>
  </si>
  <si>
    <t xml:space="preserve">Water resilience: closing the funding gap for utilities</t>
  </si>
  <si>
    <t xml:space="preserve">Consultancy. Used only as a cross-check on total utility spending (~$183bn implied).</t>
  </si>
  <si>
    <t xml:space="preserve">Water Main Break Rates in the USA and Canada</t>
  </si>
  <si>
    <t xml:space="preserve">Dec 2023</t>
  </si>
  <si>
    <t xml:space="preserve">Academic, but distributed by pipe-manufacturer interests, and its material-by-material break rates favour PVC. It is also the best data available — and its finding that break rates FELL cuts against its own $452bn headline, which is a point in favour of the data's integrity.</t>
  </si>
  <si>
    <t xml:space="preserve">Water Use in the United States</t>
  </si>
  <si>
    <t xml:space="preserve">2015/2020 series</t>
  </si>
  <si>
    <t xml:space="preserve">Federal scientific agency. Neutral. Caveat: the national compilation is published on a five-year lag.</t>
  </si>
  <si>
    <t xml:space="preserve">Springer / ASM / EPA</t>
  </si>
  <si>
    <t xml:space="preserve">Peer-reviewed literature on graphitic corrosion and tuberculation</t>
  </si>
  <si>
    <t xml:space="preserve">various</t>
  </si>
  <si>
    <t xml:space="preserve">Neutral engineering literature.</t>
  </si>
  <si>
    <t xml:space="preserve">Lead and Copper Rule Improvements — final Oct 2024</t>
  </si>
  <si>
    <t xml:space="preserve">2024-26</t>
  </si>
  <si>
    <t xml:space="preserve">Primary rulemaking source.</t>
  </si>
  <si>
    <t xml:space="preserve">NRDC tracker</t>
  </si>
  <si>
    <t xml:space="preserve">American Water Works Association v. EPA</t>
  </si>
  <si>
    <t xml:space="preserve">Environmental advocacy organisation, used only for case status. Oral argument expected Fall 2026.</t>
  </si>
  <si>
    <t xml:space="preserve">Federal Register</t>
  </si>
  <si>
    <t xml:space="preserve">Extending the Compliance Deadline for the PFOA and PFOS MCLs</t>
  </si>
  <si>
    <t xml:space="preserve">20 May 2026</t>
  </si>
  <si>
    <t xml:space="preserve">Primary source.</t>
  </si>
  <si>
    <t xml:space="preserve">PFAS National Cost Model — &gt;$50bn/20yr</t>
  </si>
  <si>
    <t xml:space="preserve">Trade-association cost model, produced to argue against a stricter rule.</t>
  </si>
  <si>
    <t xml:space="preserve">R49057 — Data Centers and Water: FAQ</t>
  </si>
  <si>
    <t xml:space="preserve">Non-partisan congressional research.</t>
  </si>
  <si>
    <t xml:space="preserve">Company data — all via Quartr</t>
  </si>
  <si>
    <t xml:space="preserve">Q1 FY2026 results and investor presentation</t>
  </si>
  <si>
    <t xml:space="preserve">10 Jun 2026</t>
  </si>
  <si>
    <t xml:space="preserve">Primary. Net sales, mix, TAM, guidance, management commentary on the IIJA cliff.</t>
  </si>
  <si>
    <t xml:space="preserve">FY2025 full-year results</t>
  </si>
  <si>
    <t xml:space="preserve">24 Mar 2026</t>
  </si>
  <si>
    <t xml:space="preserve">Primary. Five-year income statement.</t>
  </si>
  <si>
    <t xml:space="preserve">Q2 CY2026 results and presentation</t>
  </si>
  <si>
    <t xml:space="preserve">10 Aug 2026</t>
  </si>
  <si>
    <t xml:space="preserve">Primary. US customer-group table, segment revenue, FloWorks terms.</t>
  </si>
  <si>
    <t xml:space="preserve">CY2025 transition-period results</t>
  </si>
  <si>
    <t xml:space="preserve">24 Feb 2026</t>
  </si>
  <si>
    <t xml:space="preserve">Primary. Eight-period income statement.</t>
  </si>
</sst>
</file>

<file path=xl/styles.xml><?xml version="1.0" encoding="utf-8"?>
<styleSheet xmlns="http://schemas.openxmlformats.org/spreadsheetml/2006/main">
  <numFmts count="8">
    <numFmt numFmtId="164" formatCode="General"/>
    <numFmt numFmtId="165" formatCode="#,##0.0;\(#,##0.0\);\-"/>
    <numFmt numFmtId="166" formatCode="0.0%;\(0.0%\);\-"/>
    <numFmt numFmtId="167" formatCode="0.0\x"/>
    <numFmt numFmtId="168" formatCode="#,##0;\(#,##0\);\-"/>
    <numFmt numFmtId="169" formatCode="0"/>
    <numFmt numFmtId="170" formatCode="\$#,##0;&quot;($&quot;#,##0\);\-"/>
    <numFmt numFmtId="171"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F3B52"/>
      <name val="Arial"/>
      <family val="0"/>
      <charset val="1"/>
    </font>
    <font>
      <sz val="9"/>
      <color rgb="FF5C6E7C"/>
      <name val="Arial"/>
      <family val="0"/>
      <charset val="1"/>
    </font>
    <font>
      <b val="true"/>
      <sz val="11"/>
      <color rgb="FF1F3B52"/>
      <name val="Arial"/>
      <family val="0"/>
      <charset val="1"/>
    </font>
    <font>
      <b val="true"/>
      <sz val="9"/>
      <color rgb="FFFFFFFF"/>
      <name val="Arial"/>
      <family val="0"/>
      <charset val="1"/>
    </font>
    <font>
      <sz val="10"/>
      <name val="Arial"/>
      <family val="0"/>
      <charset val="1"/>
    </font>
    <font>
      <b val="true"/>
      <sz val="10"/>
      <name val="Arial"/>
      <family val="0"/>
      <charset val="1"/>
    </font>
    <font>
      <sz val="10"/>
      <color rgb="FF0000FF"/>
      <name val="Arial"/>
      <family val="0"/>
      <charset val="1"/>
    </font>
    <font>
      <sz val="10"/>
      <color rgb="FF008000"/>
      <name val="Arial"/>
      <family val="0"/>
      <charset val="1"/>
    </font>
    <font>
      <u val="single"/>
      <sz val="9"/>
      <color rgb="FF0563C1"/>
      <name val="Arial"/>
      <family val="0"/>
      <charset val="1"/>
    </font>
  </fonts>
  <fills count="5">
    <fill>
      <patternFill patternType="none"/>
    </fill>
    <fill>
      <patternFill patternType="gray125"/>
    </fill>
    <fill>
      <patternFill patternType="solid">
        <fgColor rgb="FF1F3B52"/>
        <bgColor rgb="FF003366"/>
      </patternFill>
    </fill>
    <fill>
      <patternFill patternType="solid">
        <fgColor rgb="FFFFFF00"/>
        <bgColor rgb="FFFFFF00"/>
      </patternFill>
    </fill>
    <fill>
      <patternFill patternType="solid">
        <fgColor rgb="FFEEF2F5"/>
        <bgColor rgb="FFFFFFFF"/>
      </patternFill>
    </fill>
  </fills>
  <borders count="2">
    <border diagonalUp="false" diagonalDown="false">
      <left/>
      <right/>
      <top/>
      <bottom/>
      <diagonal/>
    </border>
    <border diagonalUp="false" diagonalDown="false">
      <left style="thin">
        <color rgb="FFBFCBD4"/>
      </left>
      <right style="thin">
        <color rgb="FFBFCBD4"/>
      </right>
      <top style="thin">
        <color rgb="FFBFCBD4"/>
      </top>
      <bottom style="thin">
        <color rgb="FFBFCB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10"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10" fillId="3"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6" fontId="8" fillId="4" borderId="1"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general" vertical="top" textRotation="0" wrapText="true" indent="0" shrinkToFit="false"/>
      <protection locked="true" hidden="false"/>
    </xf>
    <xf numFmtId="167" fontId="10" fillId="4"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xf numFmtId="165" fontId="11" fillId="4"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9" fillId="4" borderId="1"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general" vertical="top" textRotation="0" wrapText="true" indent="0" shrinkToFit="false"/>
      <protection locked="true" hidden="false"/>
    </xf>
    <xf numFmtId="168" fontId="10"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6" fontId="11" fillId="4" borderId="1" xfId="0" applyFont="true" applyBorder="true" applyAlignment="true" applyProtection="false">
      <alignment horizontal="general" vertical="top" textRotation="0" wrapText="true" indent="0" shrinkToFit="false"/>
      <protection locked="true" hidden="false"/>
    </xf>
    <xf numFmtId="165" fontId="11" fillId="3" borderId="1" xfId="0" applyFont="true" applyBorder="true" applyAlignment="true" applyProtection="false">
      <alignment horizontal="general" vertical="top" textRotation="0" wrapText="true" indent="0" shrinkToFit="false"/>
      <protection locked="true" hidden="false"/>
    </xf>
    <xf numFmtId="169" fontId="10" fillId="0" borderId="1" xfId="0" applyFont="true" applyBorder="true" applyAlignment="true" applyProtection="false">
      <alignment horizontal="general" vertical="top" textRotation="0" wrapText="true" indent="0" shrinkToFit="false"/>
      <protection locked="true" hidden="false"/>
    </xf>
    <xf numFmtId="168" fontId="9" fillId="4" borderId="1" xfId="0" applyFont="true" applyBorder="true" applyAlignment="true" applyProtection="false">
      <alignment horizontal="general" vertical="top" textRotation="0" wrapText="true" indent="0" shrinkToFit="false"/>
      <protection locked="true" hidden="false"/>
    </xf>
    <xf numFmtId="167" fontId="9" fillId="4" borderId="1" xfId="0" applyFont="true" applyBorder="true" applyAlignment="true" applyProtection="false">
      <alignment horizontal="general" vertical="top" textRotation="0" wrapText="true" indent="0" shrinkToFit="false"/>
      <protection locked="true" hidden="false"/>
    </xf>
    <xf numFmtId="170" fontId="9" fillId="0" borderId="1" xfId="0" applyFont="true" applyBorder="true" applyAlignment="true" applyProtection="false">
      <alignment horizontal="general" vertical="top" textRotation="0" wrapText="true" indent="0" shrinkToFit="false"/>
      <protection locked="true" hidden="false"/>
    </xf>
    <xf numFmtId="170" fontId="10"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71" fontId="10"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66" fontId="10" fillId="4" borderId="1" xfId="0" applyFont="true" applyBorder="true" applyAlignment="true" applyProtection="false">
      <alignment horizontal="general" vertical="top" textRotation="0" wrapText="true" indent="0" shrinkToFit="false"/>
      <protection locked="true" hidden="false"/>
    </xf>
    <xf numFmtId="168" fontId="10" fillId="4" borderId="1" xfId="0" applyFont="true" applyBorder="true" applyAlignment="true" applyProtection="false">
      <alignment horizontal="general" vertical="top" textRotation="0" wrapText="true" indent="0" shrinkToFit="false"/>
      <protection locked="true" hidden="false"/>
    </xf>
    <xf numFmtId="168" fontId="11" fillId="0" borderId="1" xfId="0" applyFont="true" applyBorder="true" applyAlignment="true" applyProtection="false">
      <alignment horizontal="general" vertical="top" textRotation="0" wrapText="true" indent="0" shrinkToFit="false"/>
      <protection locked="true" hidden="false"/>
    </xf>
    <xf numFmtId="166" fontId="11" fillId="0" borderId="1" xfId="0" applyFont="true" applyBorder="true" applyAlignment="true" applyProtection="false">
      <alignment horizontal="general" vertical="top" textRotation="0" wrapText="true" indent="0" shrinkToFit="false"/>
      <protection locked="true" hidden="false"/>
    </xf>
    <xf numFmtId="167"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B52"/>
          <bgColor rgb="FF000000"/>
        </patternFill>
      </fill>
    </dxf>
    <dxf>
      <fill>
        <patternFill patternType="solid">
          <bgColor rgb="FF000000"/>
        </patternFill>
      </fill>
    </dxf>
    <dxf>
      <fill>
        <patternFill patternType="solid">
          <fgColor rgb="FFFFFFFF"/>
          <bgColor rgb="FF000000"/>
        </patternFill>
      </fill>
    </dxf>
    <dxf>
      <fill>
        <patternFill patternType="solid">
          <fgColor rgb="FF5C6E7C"/>
          <bgColor rgb="FF000000"/>
        </patternFill>
      </fill>
    </dxf>
    <dxf>
      <fill>
        <patternFill patternType="solid">
          <fgColor rgb="FF0000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2724A"/>
      <rgbColor rgb="FFBFCBD4"/>
      <rgbColor rgb="FF808080"/>
      <rgbColor rgb="FF9999FF"/>
      <rgbColor rgb="FF993366"/>
      <rgbColor rgb="FFEEF2F5"/>
      <rgbColor rgb="FFCCFFFF"/>
      <rgbColor rgb="FF660066"/>
      <rgbColor rgb="FFFF8080"/>
      <rgbColor rgb="FF0563C1"/>
      <rgbColor rgb="FFCCCCFF"/>
      <rgbColor rgb="FF000080"/>
      <rgbColor rgb="FFFF00FF"/>
      <rgbColor rgb="FFFFFF00"/>
      <rgbColor rgb="FF00FFFF"/>
      <rgbColor rgb="FF800080"/>
      <rgbColor rgb="FF800000"/>
      <rgbColor rgb="FF0B5FA5"/>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C6E7C"/>
      <rgbColor rgb="FF969696"/>
      <rgbColor rgb="FF003366"/>
      <rgbColor rgb="FF339966"/>
      <rgbColor rgb="FF003300"/>
      <rgbColor rgb="FF333300"/>
      <rgbColor rgb="FFA8451C"/>
      <rgbColor rgb="FF993366"/>
      <rgbColor rgb="FF333399"/>
      <rgbColor rgb="FF1F3B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5.xml.rels><?xml version="1.0" encoding="UTF-8"?>
<Relationships xmlns="http://schemas.openxmlformats.org/package/2006/relationships"><Relationship Id="rId1" Type="http://schemas.openxmlformats.org/officeDocument/2006/relationships/hyperlink" Target="https://web.quartr.com/companies/6132?companyId=6132&amp;documentId=222263&amp;documentType=report&amp;eventId=18137" TargetMode="External"/><Relationship Id="rId2" Type="http://schemas.openxmlformats.org/officeDocument/2006/relationships/hyperlink" Target="https://www.cbo.gov/publication/60874" TargetMode="External"/><Relationship Id="rId3" Type="http://schemas.openxmlformats.org/officeDocument/2006/relationships/hyperlink" Target="https://www.cbo.gov/publication/60874" TargetMode="External"/><Relationship Id="rId4" Type="http://schemas.openxmlformats.org/officeDocument/2006/relationships/hyperlink" Target="https://usafacts.org/articles/how-much-does-the-government-spend-on-transportation-and-water-infrastructure/" TargetMode="External"/><Relationship Id="rId5" Type="http://schemas.openxmlformats.org/officeDocument/2006/relationships/hyperlink" Target="https://www.cbo.gov/publication/60874" TargetMode="External"/><Relationship Id="rId6" Type="http://schemas.openxmlformats.org/officeDocument/2006/relationships/hyperlink" Target="https://www.cbo.gov/publication/60874" TargetMode="External"/><Relationship Id="rId7" Type="http://schemas.openxmlformats.org/officeDocument/2006/relationships/hyperlink" Target="https://www.cbo.gov/publication/60874" TargetMode="External"/><Relationship Id="rId8" Type="http://schemas.openxmlformats.org/officeDocument/2006/relationships/hyperlink" Target="https://www.cbo.gov/publication/60874" TargetMode="External"/><Relationship Id="rId9" Type="http://schemas.openxmlformats.org/officeDocument/2006/relationships/hyperlink" Target="https://www.cbo.gov/publication/60874" TargetMode="External"/><Relationship Id="rId10" Type="http://schemas.openxmlformats.org/officeDocument/2006/relationships/hyperlink" Target="https://www.census.gov/construction/c30/" TargetMode="External"/><Relationship Id="rId11" Type="http://schemas.openxmlformats.org/officeDocument/2006/relationships/hyperlink" Target="https://www.census.gov/construction/c30/" TargetMode="External"/><Relationship Id="rId12" Type="http://schemas.openxmlformats.org/officeDocument/2006/relationships/hyperlink" Target="https://www.census.gov/construction/c30/" TargetMode="External"/><Relationship Id="rId13" Type="http://schemas.openxmlformats.org/officeDocument/2006/relationships/hyperlink" Target="https://www.census.gov/construction/c30/" TargetMode="External"/><Relationship Id="rId14" Type="http://schemas.openxmlformats.org/officeDocument/2006/relationships/hyperlink" Target="https://www.usmayors.org/p3/2025-public-infrastructure-spending/" TargetMode="External"/><Relationship Id="rId15" Type="http://schemas.openxmlformats.org/officeDocument/2006/relationships/hyperlink" Target="https://www.usmayors.org/p3/2025-public-infrastructure-spending/" TargetMode="External"/><Relationship Id="rId16" Type="http://schemas.openxmlformats.org/officeDocument/2006/relationships/hyperlink" Target="https://www.usmayors.org/p3/2025-public-infrastructure-spending/" TargetMode="External"/><Relationship Id="rId17" Type="http://schemas.openxmlformats.org/officeDocument/2006/relationships/hyperlink" Target="https://www.usmayors.org/p3/2025-public-infrastructure-spending/" TargetMode="External"/><Relationship Id="rId18" Type="http://schemas.openxmlformats.org/officeDocument/2006/relationships/hyperlink" Target="https://www.nlc.org/article/2026/05/15/what-congress-needs-to-advance-on-water-infrastructure-for-americas-communities/" TargetMode="External"/><Relationship Id="rId19" Type="http://schemas.openxmlformats.org/officeDocument/2006/relationships/hyperlink" Target="https://www.nlc.org/article/2026/05/15/what-congress-needs-to-advance-on-water-infrastructure-for-americas-communities/" TargetMode="External"/><Relationship Id="rId20" Type="http://schemas.openxmlformats.org/officeDocument/2006/relationships/hyperlink" Target="https://www.congress.gov/crs-product/R47474" TargetMode="External"/><Relationship Id="rId21" Type="http://schemas.openxmlformats.org/officeDocument/2006/relationships/hyperlink" Target="https://www.congress.gov/crs-product/IF12950" TargetMode="External"/><Relationship Id="rId22" Type="http://schemas.openxmlformats.org/officeDocument/2006/relationships/hyperlink" Target="https://www.congress.gov/crs-product/IF12950" TargetMode="External"/><Relationship Id="rId23" Type="http://schemas.openxmlformats.org/officeDocument/2006/relationships/hyperlink" Target="https://www.congress.gov/crs-product/IF12950" TargetMode="External"/><Relationship Id="rId24" Type="http://schemas.openxmlformats.org/officeDocument/2006/relationships/hyperlink" Target="https://www.congress.gov/crs-product/IF12950" TargetMode="External"/><Relationship Id="rId25" Type="http://schemas.openxmlformats.org/officeDocument/2006/relationships/hyperlink" Target="https://www.congress.gov/crs-product/IF13177" TargetMode="External"/><Relationship Id="rId26" Type="http://schemas.openxmlformats.org/officeDocument/2006/relationships/hyperlink" Target="https://www.congress.gov/crs-product/IF13177" TargetMode="External"/><Relationship Id="rId27" Type="http://schemas.openxmlformats.org/officeDocument/2006/relationships/hyperlink" Target="https://waterfm.com/house-advances-spending-bill-with-proposed-16-srf-cut/" TargetMode="External"/><Relationship Id="rId28" Type="http://schemas.openxmlformats.org/officeDocument/2006/relationships/hyperlink" Target="https://waterfm.com/house-advances-spending-bill-with-proposed-16-srf-cut/" TargetMode="External"/><Relationship Id="rId29" Type="http://schemas.openxmlformats.org/officeDocument/2006/relationships/hyperlink" Target="https://www.epa.gov/infrastructure/water-infrastructure-investments" TargetMode="External"/><Relationship Id="rId30" Type="http://schemas.openxmlformats.org/officeDocument/2006/relationships/hyperlink" Target="https://www.epa.gov/infrastructure/water-infrastructure-investments" TargetMode="External"/><Relationship Id="rId31" Type="http://schemas.openxmlformats.org/officeDocument/2006/relationships/hyperlink" Target="https://www.epa.gov/infrastructure/water-infrastructure-investments" TargetMode="External"/><Relationship Id="rId32" Type="http://schemas.openxmlformats.org/officeDocument/2006/relationships/hyperlink" Target="https://www.epa.gov/infrastructure/water-infrastructure-investments" TargetMode="External"/><Relationship Id="rId33" Type="http://schemas.openxmlformats.org/officeDocument/2006/relationships/hyperlink" Target="https://www.epa.gov/wifia/wifia-program-announcements" TargetMode="External"/><Relationship Id="rId34" Type="http://schemas.openxmlformats.org/officeDocument/2006/relationships/hyperlink" Target="https://www.epa.gov/wifia/wifia-program-announcements" TargetMode="External"/><Relationship Id="rId35" Type="http://schemas.openxmlformats.org/officeDocument/2006/relationships/hyperlink" Target="https://www.epa.gov/wifia/wifia-program-announcements" TargetMode="External"/><Relationship Id="rId36" Type="http://schemas.openxmlformats.org/officeDocument/2006/relationships/hyperlink" Target="https://www.epw.senate.gov/public/index.cfm/2026/7/epw-committee-passes-bipartisan-water-resources-development-act-of-2026" TargetMode="External"/><Relationship Id="rId37" Type="http://schemas.openxmlformats.org/officeDocument/2006/relationships/hyperlink" Target="https://www.epw.senate.gov/public/index.cfm/2026/7/epw-committee-passes-bipartisan-water-resources-development-act-of-2026" TargetMode="External"/><Relationship Id="rId38" Type="http://schemas.openxmlformats.org/officeDocument/2006/relationships/hyperlink" Target="https://www.epa.gov/cwns/clean-watersheds-needs-survey-cwns-2022-report-and-data" TargetMode="External"/><Relationship Id="rId39" Type="http://schemas.openxmlformats.org/officeDocument/2006/relationships/hyperlink" Target="https://www.epa.gov/cwns/clean-watersheds-needs-survey-cwns-2022-report-and-data" TargetMode="External"/><Relationship Id="rId40" Type="http://schemas.openxmlformats.org/officeDocument/2006/relationships/hyperlink" Target="https://www.epa.gov/dwsrf" TargetMode="External"/><Relationship Id="rId41" Type="http://schemas.openxmlformats.org/officeDocument/2006/relationships/hyperlink" Target="https://www.epa.gov/dwsrf" TargetMode="External"/><Relationship Id="rId42" Type="http://schemas.openxmlformats.org/officeDocument/2006/relationships/hyperlink" Target="https://infrastructurereportcard.org/" TargetMode="External"/><Relationship Id="rId43" Type="http://schemas.openxmlformats.org/officeDocument/2006/relationships/hyperlink" Target="https://bridgingthegap.infrastructurereportcard.org/" TargetMode="External"/><Relationship Id="rId44" Type="http://schemas.openxmlformats.org/officeDocument/2006/relationships/hyperlink" Target="https://www.awwa.org/" TargetMode="External"/><Relationship Id="rId45" Type="http://schemas.openxmlformats.org/officeDocument/2006/relationships/hyperlink" Target="https://www.awwa.org/beyond-the-replacement-era/" TargetMode="External"/><Relationship Id="rId46" Type="http://schemas.openxmlformats.org/officeDocument/2006/relationships/hyperlink" Target="https://digitalcommons.usu.edu/water_rep/" TargetMode="External"/><Relationship Id="rId47" Type="http://schemas.openxmlformats.org/officeDocument/2006/relationships/hyperlink" Target="https://digitalcommons.usu.edu/water_rep/" TargetMode="External"/><Relationship Id="rId48" Type="http://schemas.openxmlformats.org/officeDocument/2006/relationships/hyperlink" Target="https://digitalcommons.usu.edu/water_rep/" TargetMode="External"/><Relationship Id="rId49" Type="http://schemas.openxmlformats.org/officeDocument/2006/relationships/hyperlink" Target="https://digitalcommons.usu.edu/water_rep/" TargetMode="External"/><Relationship Id="rId50" Type="http://schemas.openxmlformats.org/officeDocument/2006/relationships/hyperlink" Target="https://css.umich.edu/publications/factsheets/water/us-water-supply-and-distribution-factsheet" TargetMode="External"/><Relationship Id="rId51" Type="http://schemas.openxmlformats.org/officeDocument/2006/relationships/hyperlink" Target="https://css.umich.edu/publications/factsheets/water/us-water-supply-and-distribution-factsheet" TargetMode="External"/><Relationship Id="rId52" Type="http://schemas.openxmlformats.org/officeDocument/2006/relationships/hyperlink" Target="https://www.usgs.gov/mission-areas/water-resources/science/water-use-united-states" TargetMode="External"/><Relationship Id="rId53" Type="http://schemas.openxmlformats.org/officeDocument/2006/relationships/hyperlink" Target="https://www.usgs.gov/mission-areas/water-resources/science/water-use-united-states" TargetMode="External"/><Relationship Id="rId54" Type="http://schemas.openxmlformats.org/officeDocument/2006/relationships/hyperlink" Target="https://www.usgs.gov/mission-areas/water-resources/science/water-use-united-states" TargetMode="External"/><Relationship Id="rId55" Type="http://schemas.openxmlformats.org/officeDocument/2006/relationships/hyperlink" Target="https://www.usgs.gov/mission-areas/water-resources/science/water-use-united-states" TargetMode="External"/><Relationship Id="rId56" Type="http://schemas.openxmlformats.org/officeDocument/2006/relationships/hyperlink" Target="https://pubs.usgs.gov/publication/cir1441" TargetMode="External"/><Relationship Id="rId57" Type="http://schemas.openxmlformats.org/officeDocument/2006/relationships/hyperlink" Target="https://www.bluefieldresearch.com/research/u-s-municipal-water-sewer-rate-index/" TargetMode="External"/><Relationship Id="rId58" Type="http://schemas.openxmlformats.org/officeDocument/2006/relationships/hyperlink" Target="https://www.bluefieldresearch.com/research/u-s-municipal-water-sewer-rate-index/" TargetMode="External"/><Relationship Id="rId59" Type="http://schemas.openxmlformats.org/officeDocument/2006/relationships/hyperlink" Target="https://www.bluefieldresearch.com/research/u-s-municipal-water-sewer-rate-index/" TargetMode="External"/><Relationship Id="rId60" Type="http://schemas.openxmlformats.org/officeDocument/2006/relationships/hyperlink" Target="https://www.bluefieldresearch.com/research/u-s-municipal-water-sewer-rate-index/" TargetMode="External"/><Relationship Id="rId61" Type="http://schemas.openxmlformats.org/officeDocument/2006/relationships/hyperlink" Target="https://www.bluefieldresearch.com/ns/water-losses-cost-u-s-utilities-us6-4-billion-annually/" TargetMode="External"/><Relationship Id="rId62" Type="http://schemas.openxmlformats.org/officeDocument/2006/relationships/hyperlink" Target="https://www.bluefieldresearch.com/ns/water-losses-cost-u-s-utilities-us6-4-billion-annually/" TargetMode="External"/><Relationship Id="rId63" Type="http://schemas.openxmlformats.org/officeDocument/2006/relationships/drawing" Target="../drawings/drawing1.xml"/>
</Relationships>
</file>

<file path=xl/worksheets/_rels/sheet16.xml.rels><?xml version="1.0" encoding="UTF-8"?>
<Relationships xmlns="http://schemas.openxmlformats.org/package/2006/relationships"><Relationship Id="rId1" Type="http://schemas.openxmlformats.org/officeDocument/2006/relationships/hyperlink" Target="https://web.quartr.com/companies/6132?companyId=6132&amp;documentId=441963&amp;documentType=report&amp;eventId=4798" TargetMode="External"/><Relationship Id="rId2" Type="http://schemas.openxmlformats.org/officeDocument/2006/relationships/hyperlink" Target="https://web.quartr.com/companies/6132?companyId=6132&amp;documentId=441966&amp;documentType=report&amp;eventId=11600" TargetMode="External"/><Relationship Id="rId3" Type="http://schemas.openxmlformats.org/officeDocument/2006/relationships/hyperlink" Target="https://web.quartr.com/companies/6132?companyId=6132&amp;documentId=2547335&amp;documentType=report&amp;eventId=18137" TargetMode="External"/><Relationship Id="rId4" Type="http://schemas.openxmlformats.org/officeDocument/2006/relationships/hyperlink" Target="https://web.quartr.com/companies/6132?companyId=6132&amp;documentId=441962&amp;documentType=report&amp;eventId=24012" TargetMode="External"/><Relationship Id="rId5" Type="http://schemas.openxmlformats.org/officeDocument/2006/relationships/hyperlink" Target="https://web.quartr.com/companies/6132?companyId=6132&amp;documentId=441965&amp;documentType=report&amp;eventId=33541" TargetMode="External"/><Relationship Id="rId6" Type="http://schemas.openxmlformats.org/officeDocument/2006/relationships/hyperlink" Target="https://web.quartr.com/companies/6132?companyId=6132&amp;documentId=441958&amp;documentType=report&amp;eventId=42148" TargetMode="External"/><Relationship Id="rId7" Type="http://schemas.openxmlformats.org/officeDocument/2006/relationships/hyperlink" Target="https://web.quartr.com/companies/6132?companyId=6132&amp;documentId=148368&amp;documentType=report&amp;eventId=48726" TargetMode="External"/><Relationship Id="rId8" Type="http://schemas.openxmlformats.org/officeDocument/2006/relationships/hyperlink" Target="https://web.quartr.com/companies/6132?companyId=6132&amp;documentId=441957&amp;documentType=report&amp;eventId=60565" TargetMode="External"/><Relationship Id="rId9" Type="http://schemas.openxmlformats.org/officeDocument/2006/relationships/hyperlink" Target="https://web.quartr.com/companies/6132?companyId=6132&amp;documentId=441961&amp;documentType=report&amp;eventId=72325" TargetMode="External"/><Relationship Id="rId10" Type="http://schemas.openxmlformats.org/officeDocument/2006/relationships/hyperlink" Target="https://web.quartr.com/companies/6132?companyId=6132&amp;documentId=441956&amp;documentType=report&amp;eventId=101436" TargetMode="External"/><Relationship Id="rId11" Type="http://schemas.openxmlformats.org/officeDocument/2006/relationships/hyperlink" Target="https://web.quartr.com/companies/6132?companyId=6132&amp;documentId=339055&amp;documentType=report&amp;eventId=132879" TargetMode="External"/><Relationship Id="rId12" Type="http://schemas.openxmlformats.org/officeDocument/2006/relationships/hyperlink" Target="https://web.quartr.com/companies/6132?companyId=6132&amp;documentId=441954&amp;documentType=report&amp;eventId=177254" TargetMode="External"/><Relationship Id="rId13" Type="http://schemas.openxmlformats.org/officeDocument/2006/relationships/hyperlink" Target="https://web.quartr.com/companies/6132?companyId=6132&amp;documentId=470183&amp;documentType=report&amp;eventId=196829" TargetMode="External"/><Relationship Id="rId14" Type="http://schemas.openxmlformats.org/officeDocument/2006/relationships/hyperlink" Target="https://web.quartr.com/companies/6132?companyId=6132&amp;documentId=1797676&amp;documentType=report&amp;eventId=227496" TargetMode="External"/><Relationship Id="rId15" Type="http://schemas.openxmlformats.org/officeDocument/2006/relationships/hyperlink" Target="https://web.quartr.com/companies/6132?companyId=6132&amp;documentId=1879604&amp;documentType=report&amp;eventId=257949" TargetMode="External"/><Relationship Id="rId16" Type="http://schemas.openxmlformats.org/officeDocument/2006/relationships/hyperlink" Target="https://web.quartr.com/companies/6132?companyId=6132&amp;documentId=1985947&amp;documentType=report&amp;eventId=330126" TargetMode="External"/><Relationship Id="rId17" Type="http://schemas.openxmlformats.org/officeDocument/2006/relationships/hyperlink" Target="https://web.quartr.com/companies/6132?companyId=6132&amp;documentId=2132390&amp;documentType=report&amp;eventId=351231" TargetMode="External"/><Relationship Id="rId18" Type="http://schemas.openxmlformats.org/officeDocument/2006/relationships/hyperlink" Target="https://web.quartr.com/companies/6132?companyId=6132&amp;documentId=2492848&amp;documentType=report&amp;eventId=384614" TargetMode="External"/><Relationship Id="rId19" Type="http://schemas.openxmlformats.org/officeDocument/2006/relationships/hyperlink" Target="https://web.quartr.com/companies/6132?companyId=6132&amp;documentId=3158185&amp;documentType=report&amp;eventId=423486" TargetMode="External"/><Relationship Id="rId20" Type="http://schemas.openxmlformats.org/officeDocument/2006/relationships/hyperlink" Target="https://web.quartr.com/companies/6132?companyId=6132&amp;documentId=3542255&amp;documentType=report&amp;eventId=614274" TargetMode="External"/><Relationship Id="rId21" Type="http://schemas.openxmlformats.org/officeDocument/2006/relationships/hyperlink" Target="https://web.quartr.com/companies/3672?companyId=3672&amp;documentId=116018&amp;documentType=report&amp;eventId=5169&amp;navigation=external&amp;utm_medium=referral&amp;utm_source=mcp" TargetMode="External"/><Relationship Id="rId22" Type="http://schemas.openxmlformats.org/officeDocument/2006/relationships/hyperlink" Target="https://web.quartr.com/companies/3672?companyId=3672&amp;documentId=1877781&amp;documentType=report&amp;eventId=12268&amp;navigation=external&amp;utm_medium=referral&amp;utm_source=mcp" TargetMode="External"/><Relationship Id="rId23" Type="http://schemas.openxmlformats.org/officeDocument/2006/relationships/hyperlink" Target="https://web.quartr.com/companies/3672?companyId=3672&amp;documentId=131550&amp;documentType=report&amp;eventId=24211&amp;navigation=external&amp;utm_medium=referral&amp;utm_source=mcp" TargetMode="External"/><Relationship Id="rId24" Type="http://schemas.openxmlformats.org/officeDocument/2006/relationships/hyperlink" Target="https://web.quartr.com/companies/3672?companyId=3672&amp;documentId=132869&amp;documentType=report&amp;eventId=28198&amp;navigation=external&amp;utm_medium=referral&amp;utm_source=mcp" TargetMode="External"/><Relationship Id="rId25" Type="http://schemas.openxmlformats.org/officeDocument/2006/relationships/hyperlink" Target="https://web.quartr.com/companies/3672?companyId=3672&amp;documentId=425838&amp;documentType=report&amp;eventId=37960&amp;navigation=external&amp;utm_medium=referral&amp;utm_source=mcp" TargetMode="External"/><Relationship Id="rId26" Type="http://schemas.openxmlformats.org/officeDocument/2006/relationships/hyperlink" Target="https://web.quartr.com/companies/3672?companyId=3672&amp;documentId=425839&amp;documentType=report&amp;eventId=49429&amp;navigation=external&amp;utm_medium=referral&amp;utm_source=mcp" TargetMode="External"/><Relationship Id="rId27" Type="http://schemas.openxmlformats.org/officeDocument/2006/relationships/hyperlink" Target="https://web.quartr.com/companies/3672?companyId=3672&amp;documentId=425837&amp;documentType=report&amp;eventId=57665&amp;navigation=external&amp;utm_medium=referral&amp;utm_source=mcp" TargetMode="External"/><Relationship Id="rId28" Type="http://schemas.openxmlformats.org/officeDocument/2006/relationships/hyperlink" Target="https://web.quartr.com/companies/3672?companyId=3672&amp;documentId=2433336&amp;documentType=report&amp;eventId=72323&amp;navigation=external&amp;utm_medium=referral&amp;utm_source=mcp" TargetMode="External"/><Relationship Id="rId29" Type="http://schemas.openxmlformats.org/officeDocument/2006/relationships/hyperlink" Target="https://web.quartr.com/companies/3672?companyId=3672&amp;documentId=425835&amp;documentType=report&amp;eventId=116839&amp;navigation=external&amp;utm_medium=referral&amp;utm_source=mcp" TargetMode="External"/><Relationship Id="rId30" Type="http://schemas.openxmlformats.org/officeDocument/2006/relationships/hyperlink" Target="https://web.quartr.com/companies/3672?companyId=3672&amp;documentId=425836&amp;documentType=report&amp;eventId=132747&amp;navigation=external&amp;utm_medium=referral&amp;utm_source=mcp" TargetMode="External"/><Relationship Id="rId31" Type="http://schemas.openxmlformats.org/officeDocument/2006/relationships/hyperlink" Target="https://web.quartr.com/companies/3672?companyId=3672&amp;documentId=425834&amp;documentType=report&amp;eventId=173716&amp;navigation=external&amp;utm_medium=referral&amp;utm_source=mcp" TargetMode="External"/><Relationship Id="rId32" Type="http://schemas.openxmlformats.org/officeDocument/2006/relationships/hyperlink" Target="https://web.quartr.com/companies/3672?companyId=3672&amp;documentId=479785&amp;documentType=report&amp;eventId=196669&amp;navigation=external&amp;utm_medium=referral&amp;utm_source=mcp" TargetMode="External"/><Relationship Id="rId33" Type="http://schemas.openxmlformats.org/officeDocument/2006/relationships/hyperlink" Target="https://web.quartr.com/companies/3672?companyId=3672&amp;documentId=2192978&amp;documentType=report&amp;eventId=231877&amp;navigation=external&amp;utm_medium=referral&amp;utm_source=mcp" TargetMode="External"/><Relationship Id="rId34" Type="http://schemas.openxmlformats.org/officeDocument/2006/relationships/hyperlink" Target="https://web.quartr.com/companies/3672?companyId=3672&amp;documentId=2180543&amp;documentType=report&amp;eventId=259866&amp;navigation=external&amp;utm_medium=referral&amp;utm_source=mcp" TargetMode="External"/><Relationship Id="rId35" Type="http://schemas.openxmlformats.org/officeDocument/2006/relationships/hyperlink" Target="https://web.quartr.com/companies/3672?companyId=3672&amp;documentId=2180552&amp;documentType=report&amp;eventId=326153&amp;navigation=external&amp;utm_medium=referral&amp;utm_source=mcp" TargetMode="External"/><Relationship Id="rId36" Type="http://schemas.openxmlformats.org/officeDocument/2006/relationships/hyperlink" Target="https://web.quartr.com/companies/3672?companyId=3672&amp;documentId=2145259&amp;documentType=report&amp;eventId=347925&amp;navigation=external&amp;utm_medium=referral&amp;utm_source=mcp" TargetMode="External"/><Relationship Id="rId37" Type="http://schemas.openxmlformats.org/officeDocument/2006/relationships/hyperlink" Target="https://web.quartr.com/companies/3672?companyId=3672&amp;documentId=2493059&amp;documentType=report&amp;eventId=387340&amp;navigation=external&amp;utm_medium=referral&amp;utm_source=mcp" TargetMode="External"/><Relationship Id="rId38" Type="http://schemas.openxmlformats.org/officeDocument/2006/relationships/hyperlink" Target="https://web.quartr.com/companies/3672?companyId=3672&amp;documentId=2916561&amp;documentType=report&amp;eventId=568148&amp;navigation=external&amp;utm_medium=referral&amp;utm_source=mcp" TargetMode="External"/><Relationship Id="rId39" Type="http://schemas.openxmlformats.org/officeDocument/2006/relationships/hyperlink" Target="https://web.quartr.com/companies/3672?companyId=3672&amp;documentId=3343498&amp;documentType=report&amp;eventId=588828&amp;navigation=external&amp;utm_medium=referral&amp;utm_source=mcp" TargetMode="External"/><Relationship Id="rId40" Type="http://schemas.openxmlformats.org/officeDocument/2006/relationships/hyperlink" Target="https://web.quartr.com/companies/3672?companyId=3672&amp;documentId=3687670&amp;documentType=report&amp;eventId=664852&amp;navigation=external&amp;utm_medium=referral&amp;utm_source=mcp" TargetMode="External"/><Relationship Id="rId41" Type="http://schemas.openxmlformats.org/officeDocument/2006/relationships/drawing" Target="../drawings/drawing2.xml"/>
</Relationships>
</file>

<file path=xl/worksheets/_rels/sheet17.xml.rels><?xml version="1.0" encoding="UTF-8"?>
<Relationships xmlns="http://schemas.openxmlformats.org/package/2006/relationships"><Relationship Id="rId1" Type="http://schemas.openxmlformats.org/officeDocument/2006/relationships/hyperlink" Target="https://fred.stlouisfed.org/graph/fredgraph.csv?id=TLWSCON" TargetMode="External"/><Relationship Id="rId2" Type="http://schemas.openxmlformats.org/officeDocument/2006/relationships/hyperlink" Target="https://fred.stlouisfed.org/graph/fredgraph.csv?id=TLWSCONS" TargetMode="External"/><Relationship Id="rId3" Type="http://schemas.openxmlformats.org/officeDocument/2006/relationships/hyperlink" Target="https://fred.stlouisfed.org/graph/fredgraph.csv?id=PBWSCON" TargetMode="External"/><Relationship Id="rId4" Type="http://schemas.openxmlformats.org/officeDocument/2006/relationships/hyperlink" Target="https://fred.stlouisfed.org/graph/fredgraph.csv?id=PBWSCONS" TargetMode="External"/><Relationship Id="rId5" Type="http://schemas.openxmlformats.org/officeDocument/2006/relationships/hyperlink" Target="https://fred.stlouisfed.org/graph/fredgraph.csv?id=TLSWDCON" TargetMode="External"/><Relationship Id="rId6" Type="http://schemas.openxmlformats.org/officeDocument/2006/relationships/hyperlink" Target="https://fred.stlouisfed.org/graph/fredgraph.csv?id=TLSWDCONS" TargetMode="External"/><Relationship Id="rId7" Type="http://schemas.openxmlformats.org/officeDocument/2006/relationships/hyperlink" Target="https://fred.stlouisfed.org/graph/fredgraph.csv?id=PBSWGCON" TargetMode="External"/><Relationship Id="rId8" Type="http://schemas.openxmlformats.org/officeDocument/2006/relationships/hyperlink" Target="https://fred.stlouisfed.org/graph/fredgraph.csv?id=PBSWGCONS" TargetMode="External"/><Relationship Id="rId9" Type="http://schemas.openxmlformats.org/officeDocument/2006/relationships/hyperlink" Target="https://fred.stlouisfed.org/graph/fredgraph.csv?id=MPCP14XXS" TargetMode="External"/><Relationship Id="rId10" Type="http://schemas.openxmlformats.org/officeDocument/2006/relationships/hyperlink" Target="https://fred.stlouisfed.org/graph/fredgraph.csv?id=MPCP13XXS" TargetMode="External"/><Relationship Id="rId11" Type="http://schemas.openxmlformats.org/officeDocument/2006/relationships/hyperlink" Target="https://fred.stlouisfed.org/graph/fredgraph.csv?id=CUSR0000SEHG" TargetMode="External"/><Relationship Id="rId12" Type="http://schemas.openxmlformats.org/officeDocument/2006/relationships/hyperlink" Target="https://fred.stlouisfed.org/graph/fredgraph.csv?id=CUUR0000SEHG" TargetMode="External"/><Relationship Id="rId13" Type="http://schemas.openxmlformats.org/officeDocument/2006/relationships/hyperlink" Target="https://fred.stlouisfed.org/graph/fredgraph.csv?id=CUSR0000SEHG01" TargetMode="External"/><Relationship Id="rId14" Type="http://schemas.openxmlformats.org/officeDocument/2006/relationships/hyperlink" Target="https://fred.stlouisfed.org/graph/fredgraph.csv?id=CWSR0000SEHG" TargetMode="External"/><Relationship Id="rId15" Type="http://schemas.openxmlformats.org/officeDocument/2006/relationships/hyperlink" Target="https://fred.stlouisfed.org/graph/fredgraph.csv?id=CPIAUCSL" TargetMode="External"/><Relationship Id="rId16" Type="http://schemas.openxmlformats.org/officeDocument/2006/relationships/hyperlink" Target="https://fred.stlouisfed.org/graph/fredgraph.csv?id=WPU072106033" TargetMode="External"/><Relationship Id="rId17" Type="http://schemas.openxmlformats.org/officeDocument/2006/relationships/hyperlink" Target="https://fred.stlouisfed.org/graph/fredgraph.csv?id=PCU32612232612218" TargetMode="External"/><Relationship Id="rId18" Type="http://schemas.openxmlformats.org/officeDocument/2006/relationships/hyperlink" Target="https://fred.stlouisfed.org/graph/fredgraph.csv?id=WPU07210604" TargetMode="External"/><Relationship Id="rId19" Type="http://schemas.openxmlformats.org/officeDocument/2006/relationships/hyperlink" Target="https://fred.stlouisfed.org/graph/fredgraph.csv?id=PCU3261223261223" TargetMode="External"/><Relationship Id="rId20" Type="http://schemas.openxmlformats.org/officeDocument/2006/relationships/hyperlink" Target="https://fred.stlouisfed.org/graph/fredgraph.csv?id=WPU10150211" TargetMode="External"/><Relationship Id="rId21" Type="http://schemas.openxmlformats.org/officeDocument/2006/relationships/hyperlink" Target="https://fred.stlouisfed.org/graph/fredgraph.csv?id=WPU101502" TargetMode="External"/><Relationship Id="rId22" Type="http://schemas.openxmlformats.org/officeDocument/2006/relationships/hyperlink" Target="https://fred.stlouisfed.org/graph/fredgraph.csv?id=WPU1015021" TargetMode="External"/><Relationship Id="rId23" Type="http://schemas.openxmlformats.org/officeDocument/2006/relationships/hyperlink" Target="https://fred.stlouisfed.org/graph/fredgraph.csv?id=WPU10150227" TargetMode="External"/><Relationship Id="rId24" Type="http://schemas.openxmlformats.org/officeDocument/2006/relationships/hyperlink" Target="https://www.cbo.gov/publication/60874" TargetMode="External"/><Relationship Id="rId25" Type="http://schemas.openxmlformats.org/officeDocument/2006/relationships/hyperlink" Target="https://www.census.gov/construction/c30/historical_data.html" TargetMode="External"/><Relationship Id="rId26" Type="http://schemas.openxmlformats.org/officeDocument/2006/relationships/hyperlink" Target="https://www.census.gov/construction/c30/" TargetMode="External"/><Relationship Id="rId27" Type="http://schemas.openxmlformats.org/officeDocument/2006/relationships/hyperlink" Target="https://www.usmayors.org/p3/2025-public-infrastructure-spending/" TargetMode="External"/><Relationship Id="rId28" Type="http://schemas.openxmlformats.org/officeDocument/2006/relationships/hyperlink" Target="https://www.congress.gov/crs-product/IF13177" TargetMode="External"/><Relationship Id="rId29" Type="http://schemas.openxmlformats.org/officeDocument/2006/relationships/hyperlink" Target="https://www.congress.gov/crs-product/IF12950" TargetMode="External"/><Relationship Id="rId30" Type="http://schemas.openxmlformats.org/officeDocument/2006/relationships/hyperlink" Target="https://www.congress.gov/crs-product/R47474" TargetMode="External"/><Relationship Id="rId31" Type="http://schemas.openxmlformats.org/officeDocument/2006/relationships/hyperlink" Target="https://www.congress.gov/crs-product/R47878" TargetMode="External"/><Relationship Id="rId32" Type="http://schemas.openxmlformats.org/officeDocument/2006/relationships/hyperlink" Target="https://www.congress.gov/crs-product/R48565" TargetMode="External"/><Relationship Id="rId33" Type="http://schemas.openxmlformats.org/officeDocument/2006/relationships/hyperlink" Target="https://www.epa.gov/wifia/wifia-program-announcements" TargetMode="External"/><Relationship Id="rId34" Type="http://schemas.openxmlformats.org/officeDocument/2006/relationships/hyperlink" Target="https://www.epa.gov/infrastructure/water-infrastructure-investments" TargetMode="External"/><Relationship Id="rId35" Type="http://schemas.openxmlformats.org/officeDocument/2006/relationships/hyperlink" Target="https://sdwis.epa.gov/ords/sfdw_pub/r/sfdw/cwns_pub/data-download" TargetMode="External"/><Relationship Id="rId36" Type="http://schemas.openxmlformats.org/officeDocument/2006/relationships/hyperlink" Target="https://www.epa.gov/cwns/clean-watersheds-needs-survey-cwns-2022-report-and-data" TargetMode="External"/><Relationship Id="rId37" Type="http://schemas.openxmlformats.org/officeDocument/2006/relationships/hyperlink" Target="https://www.hydroshare.org/resource/3dab07fd628a4af2ba812f038b1af89f/" TargetMode="External"/><Relationship Id="rId38" Type="http://schemas.openxmlformats.org/officeDocument/2006/relationships/hyperlink" Target="https://www.epa.gov/dwsrf" TargetMode="External"/><Relationship Id="rId39" Type="http://schemas.openxmlformats.org/officeDocument/2006/relationships/hyperlink" Target="https://www.usgs.gov/mission-areas/water-resources/science/water-use-united-states" TargetMode="External"/><Relationship Id="rId40" Type="http://schemas.openxmlformats.org/officeDocument/2006/relationships/hyperlink" Target="https://digitalcommons.usu.edu/water_rep/" TargetMode="External"/><Relationship Id="rId41" Type="http://schemas.openxmlformats.org/officeDocument/2006/relationships/hyperlink" Target="https://www.phmsa.dot.gov/data-and-statistics/pipeline-replacement/decade-inventory" TargetMode="External"/><Relationship Id="rId42" Type="http://schemas.openxmlformats.org/officeDocument/2006/relationships/hyperlink" Target="https://sdwis.epa.gov/ords/sfdw_pub/f?p=SDWIS_FED_REPORTS_PUBLIC" TargetMode="External"/><Relationship Id="rId43" Type="http://schemas.openxmlformats.org/officeDocument/2006/relationships/hyperlink" Target="https://bridgingthegap.infrastructurereportcard.org/" TargetMode="External"/><Relationship Id="rId44" Type="http://schemas.openxmlformats.org/officeDocument/2006/relationships/hyperlink" Target="https://infrastructurereportcard.org/" TargetMode="External"/><Relationship Id="rId45" Type="http://schemas.openxmlformats.org/officeDocument/2006/relationships/hyperlink" Target="https://www.awwa.org/beyond-the-replacement-era/" TargetMode="External"/><Relationship Id="rId46" Type="http://schemas.openxmlformats.org/officeDocument/2006/relationships/hyperlink" Target="https://www.bluefieldresearch.com/research/u-s-municipal-water-sewer-rate-index/" TargetMode="External"/><Relationship Id="rId47" Type="http://schemas.openxmlformats.org/officeDocument/2006/relationships/hyperlink" Target="https://emma.msrb.org/" TargetMode="External"/><Relationship Id="rId48" Type="http://schemas.openxmlformats.org/officeDocument/2006/relationships/hyperlink" Target="https://efts.sec.gov/LATEST/search-index?q=%22water%20main%22&amp;forms=10-K" TargetMode="External"/><Relationship Id="rId49" Type="http://schemas.openxmlformats.org/officeDocument/2006/relationships/hyperlink" Target="https://web.quartr.com/companies/6132" TargetMode="External"/><Relationship Id="rId50" Type="http://schemas.openxmlformats.org/officeDocument/2006/relationships/hyperlink" Target="https://web.quartr.com/companies/3672" TargetMode="External"/><Relationship Id="rId51" Type="http://schemas.openxmlformats.org/officeDocument/2006/relationships/hyperlink" Target="https://data-seattlecitygis.opendata.arcgis.com/" TargetMode="External"/><Relationship Id="rId52" Type="http://schemas.openxmlformats.org/officeDocument/2006/relationships/hyperlink" Target="https://opendata.dc.gov/datasets/dc-water-main-breaks" TargetMode="External"/><Relationship Id="rId53" Type="http://schemas.openxmlformats.org/officeDocument/2006/relationships/hyperlink" Target="https://catalog.data.gov/dataset?metadata_type=geospatial" TargetMode="External"/><Relationship Id="rId54" Type="http://schemas.openxmlformats.org/officeDocument/2006/relationships/hyperlink" Target="https://health.data.ny.gov/Health/New-York-State-Lead-Service-Line-Inventory-Map/fkii-zkcq" TargetMode="External"/><Relationship Id="rId55" Type="http://schemas.openxmlformats.org/officeDocument/2006/relationships/hyperlink" Target="https://maps.umn.edu/LSL/" TargetMode="External"/><Relationship Id="rId56" Type="http://schemas.openxmlformats.org/officeDocument/2006/relationships/drawing" Target="../drawings/drawing3.xml"/>
</Relationships>
</file>

<file path=xl/worksheets/_rels/sheet18.xml.rels><?xml version="1.0" encoding="UTF-8"?>
<Relationships xmlns="http://schemas.openxmlformats.org/package/2006/relationships"><Relationship Id="rId1" Type="http://schemas.openxmlformats.org/officeDocument/2006/relationships/hyperlink" Target="https://web.quartr.com/companies/6132/events/614274/overview" TargetMode="External"/><Relationship Id="rId2" Type="http://schemas.openxmlformats.org/officeDocument/2006/relationships/hyperlink" Target="https://web.quartr.com/companies/6132/events/614274/overview" TargetMode="External"/><Relationship Id="rId3" Type="http://schemas.openxmlformats.org/officeDocument/2006/relationships/hyperlink" Target="https://web.quartr.com/companies/6132/events/614274/overview" TargetMode="External"/><Relationship Id="rId4" Type="http://schemas.openxmlformats.org/officeDocument/2006/relationships/hyperlink" Target="https://web.quartr.com/companies/6132/events/614274/overview" TargetMode="External"/><Relationship Id="rId5" Type="http://schemas.openxmlformats.org/officeDocument/2006/relationships/hyperlink" Target="https://web.quartr.com/companies/3672/events/664852/overview" TargetMode="External"/><Relationship Id="rId6" Type="http://schemas.openxmlformats.org/officeDocument/2006/relationships/hyperlink" Target="https://web.quartr.com/companies/3672/events/664852/overview" TargetMode="External"/><Relationship Id="rId7" Type="http://schemas.openxmlformats.org/officeDocument/2006/relationships/hyperlink" Target="https://web.quartr.com/companies/3672/events/664852/overview" TargetMode="External"/><Relationship Id="rId8" Type="http://schemas.openxmlformats.org/officeDocument/2006/relationships/hyperlink" Target="https://fred.stlouisfed.org/series/CUSR0000SEHG01" TargetMode="External"/><Relationship Id="rId9" Type="http://schemas.openxmlformats.org/officeDocument/2006/relationships/hyperlink" Target="https://www.nrdc.org/court-battles/american-water-works-association-et-v-epa-lead-and-copper-rule-improvements" TargetMode="External"/><Relationship Id="rId10" Type="http://schemas.openxmlformats.org/officeDocument/2006/relationships/hyperlink" Target="https://www.congress.gov/crs-product/IF13177" TargetMode="External"/><Relationship Id="rId11" Type="http://schemas.openxmlformats.org/officeDocument/2006/relationships/hyperlink" Target="https://fred.stlouisfed.org/series/TLWSCONS" TargetMode="External"/><Relationship Id="rId12" Type="http://schemas.openxmlformats.org/officeDocument/2006/relationships/hyperlink" Target="https://fred.stlouisfed.org/series/WPU072106033" TargetMode="External"/><Relationship Id="rId13" Type="http://schemas.openxmlformats.org/officeDocument/2006/relationships/hyperlink" Target="https://emma.msrb.org/" TargetMode="External"/><Relationship Id="rId14" Type="http://schemas.openxmlformats.org/officeDocument/2006/relationships/hyperlink" Target="https://www.census.gov/construction/nrc/" TargetMode="External"/><Relationship Id="rId15" Type="http://schemas.openxmlformats.org/officeDocument/2006/relationships/hyperlink" Target="https://www.epa.gov/ground-water-and-drinking-water/proposed-lead-and-copper-rule-improvement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52"/>
    <pageSetUpPr fitToPage="false"/>
  </sheetPr>
  <dimension ref="A1:C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62"/>
    <col collapsed="false" customWidth="true" hidden="false" outlineLevel="0" max="3" min="3" style="0" width="46"/>
  </cols>
  <sheetData>
    <row r="1" customFormat="false" ht="21.75"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53.7" hidden="false" customHeight="false" outlineLevel="0" collapsed="false">
      <c r="A5" s="4" t="s">
        <v>3</v>
      </c>
    </row>
    <row r="7" customFormat="false" ht="30" hidden="false" customHeight="true" outlineLevel="0" collapsed="false">
      <c r="A7" s="5" t="s">
        <v>4</v>
      </c>
      <c r="B7" s="5" t="s">
        <v>5</v>
      </c>
      <c r="C7" s="5" t="s">
        <v>6</v>
      </c>
    </row>
    <row r="8" customFormat="false" ht="15" hidden="false" customHeight="false" outlineLevel="0" collapsed="false">
      <c r="A8" s="6" t="s">
        <v>7</v>
      </c>
      <c r="B8" s="6" t="s">
        <v>8</v>
      </c>
      <c r="C8" s="6" t="s">
        <v>9</v>
      </c>
    </row>
    <row r="9" customFormat="false" ht="15" hidden="false" customHeight="false" outlineLevel="0" collapsed="false">
      <c r="A9" s="6" t="s">
        <v>10</v>
      </c>
      <c r="B9" s="6" t="s">
        <v>11</v>
      </c>
      <c r="C9" s="6" t="s">
        <v>12</v>
      </c>
    </row>
    <row r="10" customFormat="false" ht="15" hidden="false" customHeight="false" outlineLevel="0" collapsed="false">
      <c r="A10" s="6" t="s">
        <v>13</v>
      </c>
      <c r="B10" s="6" t="s">
        <v>14</v>
      </c>
      <c r="C10" s="6" t="s">
        <v>15</v>
      </c>
    </row>
    <row r="11" customFormat="false" ht="15" hidden="false" customHeight="false" outlineLevel="0" collapsed="false">
      <c r="A11" s="6" t="s">
        <v>16</v>
      </c>
      <c r="B11" s="6" t="s">
        <v>17</v>
      </c>
      <c r="C11" s="6" t="s">
        <v>15</v>
      </c>
    </row>
    <row r="12" customFormat="false" ht="15" hidden="false" customHeight="false" outlineLevel="0" collapsed="false">
      <c r="A12" s="6" t="s">
        <v>18</v>
      </c>
      <c r="B12" s="6" t="s">
        <v>19</v>
      </c>
      <c r="C12" s="6" t="s">
        <v>20</v>
      </c>
    </row>
    <row r="13" customFormat="false" ht="15" hidden="false" customHeight="false" outlineLevel="0" collapsed="false">
      <c r="A13" s="6" t="s">
        <v>21</v>
      </c>
      <c r="B13" s="6" t="s">
        <v>22</v>
      </c>
      <c r="C13" s="6" t="s">
        <v>20</v>
      </c>
    </row>
    <row r="14" customFormat="false" ht="15" hidden="false" customHeight="false" outlineLevel="0" collapsed="false">
      <c r="A14" s="6" t="s">
        <v>23</v>
      </c>
      <c r="B14" s="6" t="s">
        <v>24</v>
      </c>
      <c r="C14" s="6" t="s">
        <v>15</v>
      </c>
    </row>
    <row r="15" customFormat="false" ht="15" hidden="false" customHeight="false" outlineLevel="0" collapsed="false">
      <c r="A15" s="6" t="s">
        <v>25</v>
      </c>
      <c r="B15" s="6" t="s">
        <v>26</v>
      </c>
      <c r="C15" s="6" t="s">
        <v>15</v>
      </c>
    </row>
    <row r="16" customFormat="false" ht="15" hidden="false" customHeight="false" outlineLevel="0" collapsed="false">
      <c r="A16" s="6" t="s">
        <v>27</v>
      </c>
      <c r="B16" s="6" t="s">
        <v>28</v>
      </c>
      <c r="C16" s="6" t="s">
        <v>20</v>
      </c>
    </row>
    <row r="17" customFormat="false" ht="15" hidden="false" customHeight="false" outlineLevel="0" collapsed="false">
      <c r="A17" s="6" t="s">
        <v>29</v>
      </c>
      <c r="B17" s="6" t="s">
        <v>30</v>
      </c>
      <c r="C17" s="6" t="s">
        <v>15</v>
      </c>
    </row>
    <row r="18" customFormat="false" ht="15" hidden="false" customHeight="false" outlineLevel="0" collapsed="false">
      <c r="A18" s="6" t="s">
        <v>31</v>
      </c>
      <c r="B18" s="6" t="s">
        <v>32</v>
      </c>
      <c r="C18" s="6" t="s">
        <v>15</v>
      </c>
    </row>
    <row r="19" customFormat="false" ht="15" hidden="false" customHeight="false" outlineLevel="0" collapsed="false">
      <c r="A19" s="6" t="s">
        <v>33</v>
      </c>
      <c r="B19" s="6" t="s">
        <v>34</v>
      </c>
      <c r="C19" s="6" t="s">
        <v>15</v>
      </c>
    </row>
    <row r="20" customFormat="false" ht="15" hidden="false" customHeight="false" outlineLevel="0" collapsed="false">
      <c r="A20" s="6" t="s">
        <v>35</v>
      </c>
      <c r="B20" s="6" t="s">
        <v>36</v>
      </c>
      <c r="C20" s="6" t="s">
        <v>37</v>
      </c>
    </row>
    <row r="21" customFormat="false" ht="15" hidden="false" customHeight="false" outlineLevel="0" collapsed="false">
      <c r="A21" s="6" t="s">
        <v>38</v>
      </c>
      <c r="B21" s="6" t="s">
        <v>39</v>
      </c>
      <c r="C21" s="6" t="s">
        <v>20</v>
      </c>
    </row>
    <row r="22" customFormat="false" ht="15" hidden="false" customHeight="false" outlineLevel="0" collapsed="false">
      <c r="A22" s="6" t="s">
        <v>40</v>
      </c>
      <c r="B22" s="6" t="s">
        <v>41</v>
      </c>
      <c r="C22" s="6" t="s">
        <v>20</v>
      </c>
    </row>
    <row r="23" customFormat="false" ht="15" hidden="false" customHeight="false" outlineLevel="0" collapsed="false">
      <c r="A23" s="6" t="s">
        <v>42</v>
      </c>
      <c r="B23" s="6" t="s">
        <v>43</v>
      </c>
      <c r="C23" s="6" t="s">
        <v>37</v>
      </c>
    </row>
    <row r="24" customFormat="false" ht="15" hidden="false" customHeight="false" outlineLevel="0" collapsed="false">
      <c r="A24" s="6" t="s">
        <v>44</v>
      </c>
      <c r="B24" s="6" t="s">
        <v>45</v>
      </c>
      <c r="C24" s="6" t="s">
        <v>37</v>
      </c>
    </row>
    <row r="25" customFormat="false" ht="15" hidden="false" customHeight="false" outlineLevel="0" collapsed="false">
      <c r="A25" s="6" t="s">
        <v>46</v>
      </c>
      <c r="B25" s="6" t="s">
        <v>47</v>
      </c>
      <c r="C25" s="6" t="s">
        <v>37</v>
      </c>
    </row>
    <row r="27" customFormat="false" ht="15" hidden="false" customHeight="false" outlineLevel="0" collapsed="false">
      <c r="A27" s="3" t="s">
        <v>48</v>
      </c>
    </row>
    <row r="28" customFormat="false" ht="30" hidden="false" customHeight="true" outlineLevel="0" collapsed="false">
      <c r="A28" s="5" t="s">
        <v>49</v>
      </c>
      <c r="B28" s="5" t="s">
        <v>50</v>
      </c>
      <c r="C28" s="5" t="s">
        <v>51</v>
      </c>
    </row>
    <row r="29" customFormat="false" ht="15" hidden="false" customHeight="false" outlineLevel="0" collapsed="false">
      <c r="A29" s="7" t="s">
        <v>52</v>
      </c>
      <c r="B29" s="6" t="s">
        <v>53</v>
      </c>
      <c r="C29" s="8" t="s">
        <v>54</v>
      </c>
    </row>
    <row r="30" customFormat="false" ht="15" hidden="false" customHeight="false" outlineLevel="0" collapsed="false">
      <c r="A30" s="7" t="s">
        <v>55</v>
      </c>
      <c r="B30" s="6" t="s">
        <v>56</v>
      </c>
      <c r="C30" s="6" t="s">
        <v>57</v>
      </c>
    </row>
    <row r="31" customFormat="false" ht="15" hidden="false" customHeight="false" outlineLevel="0" collapsed="false">
      <c r="A31" s="7" t="s">
        <v>58</v>
      </c>
      <c r="B31" s="6" t="s">
        <v>59</v>
      </c>
      <c r="C31" s="9" t="s">
        <v>60</v>
      </c>
    </row>
    <row r="32" customFormat="false" ht="15" hidden="false" customHeight="false" outlineLevel="0" collapsed="false">
      <c r="A32" s="7" t="s">
        <v>61</v>
      </c>
      <c r="B32" s="6" t="s">
        <v>62</v>
      </c>
      <c r="C32" s="10" t="s">
        <v>63</v>
      </c>
    </row>
    <row r="34" customFormat="false" ht="15" hidden="false" customHeight="false" outlineLevel="0" collapsed="false">
      <c r="A34" s="3" t="s">
        <v>64</v>
      </c>
    </row>
    <row r="35" customFormat="false" ht="53.7" hidden="false" customHeight="false" outlineLevel="0" collapsed="false">
      <c r="A35" s="4" t="s">
        <v>65</v>
      </c>
    </row>
    <row r="37" customFormat="false" ht="43.25" hidden="false" customHeight="false" outlineLevel="0" collapsed="false">
      <c r="A37" s="4" t="s">
        <v>66</v>
      </c>
    </row>
    <row r="39" customFormat="false" ht="32.8" hidden="false" customHeight="false" outlineLevel="0" collapsed="false">
      <c r="A39" s="4" t="s">
        <v>67</v>
      </c>
    </row>
    <row r="41" customFormat="false" ht="15" hidden="false" customHeight="false" outlineLevel="0" collapsed="false">
      <c r="A41" s="3" t="s">
        <v>68</v>
      </c>
    </row>
    <row r="42" customFormat="false" ht="85.05" hidden="false" customHeight="false" outlineLevel="0" collapsed="false">
      <c r="A42" s="4" t="s">
        <v>69</v>
      </c>
    </row>
    <row r="44" customFormat="false" ht="64.15" hidden="false" customHeight="false" outlineLevel="0" collapsed="false">
      <c r="A44" s="4" t="s">
        <v>70</v>
      </c>
    </row>
    <row r="46" customFormat="false" ht="32.8" hidden="false" customHeight="false" outlineLevel="0" collapsed="false">
      <c r="A46" s="4" t="s">
        <v>71</v>
      </c>
    </row>
    <row r="48" customFormat="false" ht="15" hidden="false" customHeight="false" outlineLevel="0" collapsed="false">
      <c r="A48" s="2"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FA5"/>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2"/>
    <col collapsed="false" customWidth="true" hidden="false" outlineLevel="0" max="4" min="4" style="0" width="62"/>
  </cols>
  <sheetData>
    <row r="1" customFormat="false" ht="21.75" hidden="false" customHeight="true" outlineLevel="0" collapsed="false">
      <c r="A1" s="1" t="s">
        <v>10</v>
      </c>
    </row>
    <row r="2" customFormat="false" ht="15" hidden="false" customHeight="false" outlineLevel="0" collapsed="false">
      <c r="A2" s="2" t="s">
        <v>73</v>
      </c>
    </row>
    <row r="4" customFormat="false" ht="15" hidden="false" customHeight="false" outlineLevel="0" collapsed="false">
      <c r="A4" s="3" t="s">
        <v>74</v>
      </c>
    </row>
    <row r="5" customFormat="false" ht="30" hidden="false" customHeight="true" outlineLevel="0" collapsed="false">
      <c r="A5" s="5" t="s">
        <v>75</v>
      </c>
      <c r="B5" s="5" t="s">
        <v>76</v>
      </c>
      <c r="C5" s="5" t="s">
        <v>77</v>
      </c>
      <c r="D5" s="5" t="s">
        <v>78</v>
      </c>
    </row>
    <row r="6" customFormat="false" ht="22.35" hidden="false" customHeight="false" outlineLevel="0" collapsed="false">
      <c r="A6" s="7" t="s">
        <v>79</v>
      </c>
      <c r="B6" s="11" t="n">
        <v>68</v>
      </c>
      <c r="C6" s="6" t="s">
        <v>80</v>
      </c>
      <c r="D6" s="12" t="s">
        <v>81</v>
      </c>
    </row>
    <row r="7" customFormat="false" ht="15" hidden="false" customHeight="false" outlineLevel="0" collapsed="false">
      <c r="A7" s="7" t="s">
        <v>82</v>
      </c>
      <c r="B7" s="13" t="n">
        <v>0.045</v>
      </c>
      <c r="C7" s="6" t="s">
        <v>83</v>
      </c>
      <c r="D7" s="12" t="s">
        <v>84</v>
      </c>
    </row>
    <row r="8" customFormat="false" ht="15" hidden="false" customHeight="false" outlineLevel="0" collapsed="false">
      <c r="A8" s="7" t="s">
        <v>85</v>
      </c>
      <c r="B8" s="14" t="n">
        <v>8.7</v>
      </c>
      <c r="C8" s="6" t="s">
        <v>86</v>
      </c>
      <c r="D8" s="12" t="s">
        <v>87</v>
      </c>
    </row>
    <row r="9" customFormat="false" ht="22.35" hidden="false" customHeight="false" outlineLevel="0" collapsed="false">
      <c r="A9" s="7" t="s">
        <v>88</v>
      </c>
      <c r="B9" s="14" t="n">
        <v>2</v>
      </c>
      <c r="C9" s="6" t="s">
        <v>86</v>
      </c>
      <c r="D9" s="12" t="s">
        <v>89</v>
      </c>
    </row>
    <row r="10" customFormat="false" ht="15" hidden="false" customHeight="false" outlineLevel="0" collapsed="false">
      <c r="A10" s="7" t="s">
        <v>90</v>
      </c>
      <c r="B10" s="15" t="n">
        <f aca="false">B8-B9</f>
        <v>6.7</v>
      </c>
      <c r="C10" s="6" t="s">
        <v>86</v>
      </c>
      <c r="D10" s="12" t="s">
        <v>91</v>
      </c>
    </row>
    <row r="11" customFormat="false" ht="15" hidden="false" customHeight="false" outlineLevel="0" collapsed="false">
      <c r="A11" s="6" t="s">
        <v>92</v>
      </c>
      <c r="B11" s="16" t="n">
        <f aca="false">B10/B6</f>
        <v>0.0985294117647059</v>
      </c>
      <c r="C11" s="6" t="s">
        <v>93</v>
      </c>
      <c r="D11" s="12" t="s">
        <v>94</v>
      </c>
    </row>
    <row r="13" customFormat="false" ht="15" hidden="false" customHeight="false" outlineLevel="0" collapsed="false">
      <c r="A13" s="3" t="s">
        <v>95</v>
      </c>
    </row>
    <row r="14" customFormat="false" ht="30" hidden="false" customHeight="true" outlineLevel="0" collapsed="false">
      <c r="A14" s="5" t="s">
        <v>96</v>
      </c>
      <c r="B14" s="5" t="s">
        <v>97</v>
      </c>
      <c r="C14" s="5" t="s">
        <v>98</v>
      </c>
      <c r="D14" s="5" t="s">
        <v>99</v>
      </c>
    </row>
    <row r="15" customFormat="false" ht="15" hidden="false" customHeight="false" outlineLevel="0" collapsed="false">
      <c r="A15" s="7" t="s">
        <v>100</v>
      </c>
      <c r="B15" s="17" t="n">
        <v>0.03</v>
      </c>
      <c r="C15" s="14" t="n">
        <v>9</v>
      </c>
      <c r="D15" s="18" t="n">
        <v>0.5</v>
      </c>
    </row>
    <row r="16" customFormat="false" ht="15" hidden="false" customHeight="false" outlineLevel="0" collapsed="false">
      <c r="A16" s="19" t="s">
        <v>101</v>
      </c>
      <c r="B16" s="20" t="n">
        <f aca="false">B7</f>
        <v>0.045</v>
      </c>
      <c r="C16" s="21" t="n">
        <f aca="false">B10</f>
        <v>6.7</v>
      </c>
      <c r="D16" s="22" t="n">
        <v>1</v>
      </c>
    </row>
    <row r="17" customFormat="false" ht="15" hidden="false" customHeight="false" outlineLevel="0" collapsed="false">
      <c r="A17" s="7" t="s">
        <v>102</v>
      </c>
      <c r="B17" s="17" t="n">
        <v>0.055</v>
      </c>
      <c r="C17" s="14" t="n">
        <v>4</v>
      </c>
      <c r="D17" s="18" t="n">
        <v>1.1</v>
      </c>
    </row>
    <row r="18" customFormat="false" ht="43.25" hidden="false" customHeight="false" outlineLevel="0" collapsed="false">
      <c r="A18" s="4" t="s">
        <v>103</v>
      </c>
    </row>
    <row r="21" customFormat="false" ht="15" hidden="false" customHeight="false" outlineLevel="0" collapsed="false">
      <c r="A21" s="3" t="s">
        <v>104</v>
      </c>
    </row>
    <row r="22" customFormat="false" ht="30" hidden="false" customHeight="true" outlineLevel="0" collapsed="false">
      <c r="A22" s="5" t="s">
        <v>105</v>
      </c>
      <c r="B22" s="5" t="s">
        <v>77</v>
      </c>
      <c r="C22" s="5" t="s">
        <v>106</v>
      </c>
      <c r="D22" s="5" t="s">
        <v>107</v>
      </c>
      <c r="E22" s="5" t="s">
        <v>108</v>
      </c>
      <c r="F22" s="5" t="s">
        <v>109</v>
      </c>
      <c r="G22" s="5" t="s">
        <v>110</v>
      </c>
      <c r="H22" s="5" t="s">
        <v>111</v>
      </c>
      <c r="I22" s="5" t="s">
        <v>112</v>
      </c>
      <c r="J22" s="5" t="s">
        <v>113</v>
      </c>
      <c r="K22" s="5" t="s">
        <v>114</v>
      </c>
      <c r="L22" s="5" t="s">
        <v>115</v>
      </c>
    </row>
    <row r="23" customFormat="false" ht="15" hidden="false" customHeight="false" outlineLevel="0" collapsed="false">
      <c r="A23" s="7" t="s">
        <v>116</v>
      </c>
      <c r="B23" s="12" t="s">
        <v>117</v>
      </c>
      <c r="C23" s="17" t="n">
        <v>0</v>
      </c>
      <c r="D23" s="17" t="n">
        <v>0.15</v>
      </c>
      <c r="E23" s="17" t="n">
        <v>0.4</v>
      </c>
      <c r="F23" s="17" t="n">
        <v>0.75</v>
      </c>
      <c r="G23" s="17" t="n">
        <v>1</v>
      </c>
      <c r="H23" s="17" t="n">
        <v>1</v>
      </c>
      <c r="I23" s="17" t="n">
        <v>1</v>
      </c>
      <c r="J23" s="17" t="n">
        <v>1</v>
      </c>
      <c r="K23" s="17" t="n">
        <v>1</v>
      </c>
      <c r="L23" s="17" t="n">
        <v>1</v>
      </c>
    </row>
    <row r="24" customFormat="false" ht="15" hidden="false" customHeight="false" outlineLevel="0" collapsed="false">
      <c r="A24" s="7" t="s">
        <v>118</v>
      </c>
      <c r="B24" s="12" t="s">
        <v>80</v>
      </c>
      <c r="C24" s="14" t="n">
        <v>0</v>
      </c>
      <c r="D24" s="14" t="n">
        <v>2</v>
      </c>
      <c r="E24" s="14" t="n">
        <v>3.5</v>
      </c>
      <c r="F24" s="14" t="n">
        <v>5</v>
      </c>
      <c r="G24" s="14" t="n">
        <v>5.5</v>
      </c>
      <c r="H24" s="14" t="n">
        <v>5.5</v>
      </c>
      <c r="I24" s="14" t="n">
        <v>5</v>
      </c>
      <c r="J24" s="14" t="n">
        <v>4.5</v>
      </c>
      <c r="K24" s="14" t="n">
        <v>3.5</v>
      </c>
      <c r="L24" s="14" t="n">
        <v>2</v>
      </c>
    </row>
    <row r="25" customFormat="false" ht="15" hidden="false" customHeight="false" outlineLevel="0" collapsed="false">
      <c r="A25" s="7" t="s">
        <v>119</v>
      </c>
      <c r="B25" s="12" t="s">
        <v>80</v>
      </c>
      <c r="C25" s="14" t="n">
        <v>0</v>
      </c>
      <c r="D25" s="14" t="n">
        <v>1</v>
      </c>
      <c r="E25" s="14" t="n">
        <v>1.8</v>
      </c>
      <c r="F25" s="14" t="n">
        <v>2.5</v>
      </c>
      <c r="G25" s="14" t="n">
        <v>2.5</v>
      </c>
      <c r="H25" s="14" t="n">
        <v>2</v>
      </c>
      <c r="I25" s="14" t="n">
        <v>1.5</v>
      </c>
      <c r="J25" s="14" t="n">
        <v>1.2</v>
      </c>
      <c r="K25" s="14" t="n">
        <v>1</v>
      </c>
      <c r="L25" s="14" t="n">
        <v>1</v>
      </c>
    </row>
    <row r="27" customFormat="false" ht="32.8" hidden="false" customHeight="false" outlineLevel="0" collapsed="false">
      <c r="A27" s="4" t="s">
        <v>120</v>
      </c>
    </row>
    <row r="28" customFormat="false" ht="32.8" hidden="false" customHeight="false" outlineLevel="0" collapsed="false">
      <c r="A28" s="4" t="s">
        <v>121</v>
      </c>
    </row>
    <row r="29" customFormat="false" ht="43.25" hidden="false" customHeight="false" outlineLevel="0" collapsed="false">
      <c r="A29" s="4"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FA5"/>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3"/>
    <col collapsed="false" customWidth="true" hidden="false" outlineLevel="0" max="12" min="3" style="0" width="11"/>
  </cols>
  <sheetData>
    <row r="1" customFormat="false" ht="21.75" hidden="false" customHeight="true" outlineLevel="0" collapsed="false">
      <c r="A1" s="1" t="s">
        <v>123</v>
      </c>
    </row>
    <row r="2" customFormat="false" ht="15" hidden="false" customHeight="false" outlineLevel="0" collapsed="false">
      <c r="A2" s="2" t="s">
        <v>124</v>
      </c>
    </row>
    <row r="4" customFormat="false" ht="30" hidden="false" customHeight="true" outlineLevel="0" collapsed="false">
      <c r="A4" s="5" t="s">
        <v>125</v>
      </c>
      <c r="B4" s="5" t="s">
        <v>78</v>
      </c>
      <c r="C4" s="5" t="s">
        <v>106</v>
      </c>
      <c r="D4" s="5" t="s">
        <v>107</v>
      </c>
      <c r="E4" s="5" t="s">
        <v>108</v>
      </c>
      <c r="F4" s="5" t="s">
        <v>109</v>
      </c>
      <c r="G4" s="5" t="s">
        <v>110</v>
      </c>
      <c r="H4" s="5" t="s">
        <v>111</v>
      </c>
      <c r="I4" s="5" t="s">
        <v>112</v>
      </c>
      <c r="J4" s="5" t="s">
        <v>113</v>
      </c>
      <c r="K4" s="5" t="s">
        <v>114</v>
      </c>
      <c r="L4" s="5" t="s">
        <v>115</v>
      </c>
    </row>
    <row r="5" customFormat="false" ht="22.35" hidden="false" customHeight="false" outlineLevel="0" collapsed="false">
      <c r="A5" s="7" t="s">
        <v>126</v>
      </c>
      <c r="B5" s="12" t="s">
        <v>127</v>
      </c>
      <c r="C5" s="23" t="n">
        <f aca="false">Assumptions!$B$6*(1+Assumptions!$B$7)^0</f>
        <v>68</v>
      </c>
      <c r="D5" s="23" t="n">
        <f aca="false">Assumptions!$B$6*(1+Assumptions!$B$7)^1</f>
        <v>71.06</v>
      </c>
      <c r="E5" s="23" t="n">
        <f aca="false">Assumptions!$B$6*(1+Assumptions!$B$7)^2</f>
        <v>74.2577</v>
      </c>
      <c r="F5" s="23" t="n">
        <f aca="false">Assumptions!$B$6*(1+Assumptions!$B$7)^3</f>
        <v>77.5992965</v>
      </c>
      <c r="G5" s="23" t="n">
        <f aca="false">Assumptions!$B$6*(1+Assumptions!$B$7)^4</f>
        <v>81.0912648425</v>
      </c>
      <c r="H5" s="23" t="n">
        <f aca="false">Assumptions!$B$6*(1+Assumptions!$B$7)^5</f>
        <v>84.7403717604125</v>
      </c>
      <c r="I5" s="23" t="n">
        <f aca="false">Assumptions!$B$6*(1+Assumptions!$B$7)^6</f>
        <v>88.553688489631</v>
      </c>
      <c r="J5" s="23" t="n">
        <f aca="false">Assumptions!$B$6*(1+Assumptions!$B$7)^7</f>
        <v>92.5386044716644</v>
      </c>
      <c r="K5" s="23" t="n">
        <f aca="false">Assumptions!$B$6*(1+Assumptions!$B$7)^8</f>
        <v>96.7028416728893</v>
      </c>
      <c r="L5" s="23" t="n">
        <f aca="false">Assumptions!$B$6*(1+Assumptions!$B$7)^9</f>
        <v>101.054469548169</v>
      </c>
    </row>
    <row r="6" customFormat="false" ht="15" hidden="false" customHeight="false" outlineLevel="0" collapsed="false">
      <c r="A6" s="7" t="s">
        <v>128</v>
      </c>
      <c r="B6" s="12" t="s">
        <v>129</v>
      </c>
      <c r="C6" s="23" t="n">
        <f aca="false">-Assumptions!$B$10*Assumptions!C$23</f>
        <v>-0</v>
      </c>
      <c r="D6" s="23" t="n">
        <f aca="false">-Assumptions!$B$10*Assumptions!D$23</f>
        <v>-1.005</v>
      </c>
      <c r="E6" s="23" t="n">
        <f aca="false">-Assumptions!$B$10*Assumptions!E$23</f>
        <v>-2.68</v>
      </c>
      <c r="F6" s="23" t="n">
        <f aca="false">-Assumptions!$B$10*Assumptions!F$23</f>
        <v>-5.025</v>
      </c>
      <c r="G6" s="23" t="n">
        <f aca="false">-Assumptions!$B$10*Assumptions!G$23</f>
        <v>-6.7</v>
      </c>
      <c r="H6" s="23" t="n">
        <f aca="false">-Assumptions!$B$10*Assumptions!H$23</f>
        <v>-6.7</v>
      </c>
      <c r="I6" s="23" t="n">
        <f aca="false">-Assumptions!$B$10*Assumptions!I$23</f>
        <v>-6.7</v>
      </c>
      <c r="J6" s="23" t="n">
        <f aca="false">-Assumptions!$B$10*Assumptions!J$23</f>
        <v>-6.7</v>
      </c>
      <c r="K6" s="23" t="n">
        <f aca="false">-Assumptions!$B$10*Assumptions!K$23</f>
        <v>-6.7</v>
      </c>
      <c r="L6" s="23" t="n">
        <f aca="false">-Assumptions!$B$10*Assumptions!L$23</f>
        <v>-6.7</v>
      </c>
    </row>
    <row r="7" customFormat="false" ht="15" hidden="false" customHeight="false" outlineLevel="0" collapsed="false">
      <c r="A7" s="7" t="s">
        <v>130</v>
      </c>
      <c r="B7" s="12" t="s">
        <v>131</v>
      </c>
      <c r="C7" s="23" t="n">
        <f aca="false">Assumptions!C$24</f>
        <v>0</v>
      </c>
      <c r="D7" s="23" t="n">
        <f aca="false">Assumptions!D$24</f>
        <v>2</v>
      </c>
      <c r="E7" s="23" t="n">
        <f aca="false">Assumptions!E$24</f>
        <v>3.5</v>
      </c>
      <c r="F7" s="23" t="n">
        <f aca="false">Assumptions!F$24</f>
        <v>5</v>
      </c>
      <c r="G7" s="23" t="n">
        <f aca="false">Assumptions!G$24</f>
        <v>5.5</v>
      </c>
      <c r="H7" s="23" t="n">
        <f aca="false">Assumptions!H$24</f>
        <v>5.5</v>
      </c>
      <c r="I7" s="23" t="n">
        <f aca="false">Assumptions!I$24</f>
        <v>5</v>
      </c>
      <c r="J7" s="23" t="n">
        <f aca="false">Assumptions!J$24</f>
        <v>4.5</v>
      </c>
      <c r="K7" s="23" t="n">
        <f aca="false">Assumptions!K$24</f>
        <v>3.5</v>
      </c>
      <c r="L7" s="23" t="n">
        <f aca="false">Assumptions!L$24</f>
        <v>2</v>
      </c>
    </row>
    <row r="8" customFormat="false" ht="15" hidden="false" customHeight="false" outlineLevel="0" collapsed="false">
      <c r="A8" s="7" t="s">
        <v>132</v>
      </c>
      <c r="B8" s="12" t="s">
        <v>131</v>
      </c>
      <c r="C8" s="23" t="n">
        <f aca="false">Assumptions!C$25</f>
        <v>0</v>
      </c>
      <c r="D8" s="23" t="n">
        <f aca="false">Assumptions!D$25</f>
        <v>1</v>
      </c>
      <c r="E8" s="23" t="n">
        <f aca="false">Assumptions!E$25</f>
        <v>1.8</v>
      </c>
      <c r="F8" s="23" t="n">
        <f aca="false">Assumptions!F$25</f>
        <v>2.5</v>
      </c>
      <c r="G8" s="23" t="n">
        <f aca="false">Assumptions!G$25</f>
        <v>2.5</v>
      </c>
      <c r="H8" s="23" t="n">
        <f aca="false">Assumptions!H$25</f>
        <v>2</v>
      </c>
      <c r="I8" s="23" t="n">
        <f aca="false">Assumptions!I$25</f>
        <v>1.5</v>
      </c>
      <c r="J8" s="23" t="n">
        <f aca="false">Assumptions!J$25</f>
        <v>1.2</v>
      </c>
      <c r="K8" s="23" t="n">
        <f aca="false">Assumptions!K$25</f>
        <v>1</v>
      </c>
      <c r="L8" s="23" t="n">
        <f aca="false">Assumptions!L$25</f>
        <v>1</v>
      </c>
    </row>
    <row r="9" customFormat="false" ht="15" hidden="false" customHeight="false" outlineLevel="0" collapsed="false">
      <c r="A9" s="19" t="s">
        <v>133</v>
      </c>
      <c r="B9" s="24" t="s">
        <v>134</v>
      </c>
      <c r="C9" s="25" t="n">
        <f aca="false">SUM(C5:C8)</f>
        <v>68</v>
      </c>
      <c r="D9" s="25" t="n">
        <f aca="false">SUM(D5:D8)</f>
        <v>73.055</v>
      </c>
      <c r="E9" s="25" t="n">
        <f aca="false">SUM(E5:E8)</f>
        <v>76.8777</v>
      </c>
      <c r="F9" s="25" t="n">
        <f aca="false">SUM(F5:F8)</f>
        <v>80.0742965</v>
      </c>
      <c r="G9" s="25" t="n">
        <f aca="false">SUM(G5:G8)</f>
        <v>82.3912648425</v>
      </c>
      <c r="H9" s="25" t="n">
        <f aca="false">SUM(H5:H8)</f>
        <v>85.5403717604125</v>
      </c>
      <c r="I9" s="25" t="n">
        <f aca="false">SUM(I5:I8)</f>
        <v>88.353688489631</v>
      </c>
      <c r="J9" s="25" t="n">
        <f aca="false">SUM(J5:J8)</f>
        <v>91.5386044716644</v>
      </c>
      <c r="K9" s="25" t="n">
        <f aca="false">SUM(K5:K8)</f>
        <v>94.5028416728893</v>
      </c>
      <c r="L9" s="25" t="n">
        <f aca="false">SUM(L5:L8)</f>
        <v>97.3544695481693</v>
      </c>
    </row>
    <row r="10" customFormat="false" ht="15" hidden="false" customHeight="false" outlineLevel="0" collapsed="false">
      <c r="A10" s="6" t="s">
        <v>135</v>
      </c>
      <c r="B10" s="12" t="s">
        <v>136</v>
      </c>
      <c r="C10" s="26"/>
      <c r="D10" s="26" t="n">
        <f aca="false">IF(C9=0,0,D9/C9-1)</f>
        <v>0.0743382352941178</v>
      </c>
      <c r="E10" s="26" t="n">
        <f aca="false">IF(D9=0,0,E9/D9-1)</f>
        <v>0.0523263294777905</v>
      </c>
      <c r="F10" s="26" t="n">
        <f aca="false">IF(E9=0,0,F9/E9-1)</f>
        <v>0.0415802827087697</v>
      </c>
      <c r="G10" s="26" t="n">
        <f aca="false">IF(F9=0,0,G9/F9-1)</f>
        <v>0.0289352319504925</v>
      </c>
      <c r="H10" s="26" t="n">
        <f aca="false">IF(G9=0,0,H9/G9-1)</f>
        <v>0.0382213687814159</v>
      </c>
      <c r="I10" s="26" t="n">
        <f aca="false">IF(H9=0,0,I9/H9-1)</f>
        <v>0.0328887596735994</v>
      </c>
      <c r="J10" s="26" t="n">
        <f aca="false">IF(I9=0,0,J9/I9-1)</f>
        <v>0.0360473460302357</v>
      </c>
      <c r="K10" s="26" t="n">
        <f aca="false">IF(J9=0,0,K9/J9-1)</f>
        <v>0.0323823726430357</v>
      </c>
      <c r="L10" s="26" t="n">
        <f aca="false">IF(K9=0,0,L9/K9-1)</f>
        <v>0.0301750489699619</v>
      </c>
    </row>
    <row r="12" customFormat="false" ht="15" hidden="false" customHeight="false" outlineLevel="0" collapsed="false">
      <c r="A12" s="3" t="s">
        <v>137</v>
      </c>
    </row>
    <row r="13" customFormat="false" ht="30" hidden="false" customHeight="true" outlineLevel="0" collapsed="false">
      <c r="A13" s="5" t="s">
        <v>138</v>
      </c>
      <c r="B13" s="5" t="s">
        <v>76</v>
      </c>
      <c r="C13" s="5"/>
      <c r="D13" s="5" t="s">
        <v>139</v>
      </c>
    </row>
    <row r="14" customFormat="false" ht="64.15" hidden="false" customHeight="false" outlineLevel="0" collapsed="false">
      <c r="A14" s="7" t="s">
        <v>140</v>
      </c>
      <c r="B14" s="27" t="n">
        <f aca="false">SUM(D9:L9)</f>
        <v>769.688237285266</v>
      </c>
      <c r="C14" s="6"/>
      <c r="D14" s="12" t="s">
        <v>141</v>
      </c>
    </row>
    <row r="15" customFormat="false" ht="32.8" hidden="false" customHeight="false" outlineLevel="0" collapsed="false">
      <c r="A15" s="7" t="s">
        <v>142</v>
      </c>
      <c r="B15" s="16" t="n">
        <f aca="false">(L9/C9)^(1/9)-1</f>
        <v>0.0406778986328729</v>
      </c>
      <c r="C15" s="6"/>
      <c r="D15" s="12" t="s">
        <v>143</v>
      </c>
    </row>
    <row r="16" customFormat="false" ht="32.8" hidden="false" customHeight="false" outlineLevel="0" collapsed="false">
      <c r="A16" s="7" t="s">
        <v>144</v>
      </c>
      <c r="B16" s="7" t="str">
        <f aca="false">INDEX($C$4:$L$4,MATCH(MIN(D10:L10),D10:L10,0)+1)</f>
        <v>2030</v>
      </c>
      <c r="C16" s="6"/>
      <c r="D16" s="12" t="s">
        <v>145</v>
      </c>
    </row>
    <row r="17" customFormat="false" ht="32.8" hidden="false" customHeight="false" outlineLevel="0" collapsed="false">
      <c r="A17" s="7" t="s">
        <v>146</v>
      </c>
      <c r="B17" s="16" t="n">
        <f aca="false">MIN(D10:L10)</f>
        <v>0.0289352319504925</v>
      </c>
      <c r="C17" s="6"/>
      <c r="D17" s="12" t="s">
        <v>147</v>
      </c>
    </row>
    <row r="19" customFormat="false" ht="53.7" hidden="false" customHeight="false" outlineLevel="0" collapsed="false">
      <c r="A19" s="4"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FA5"/>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3"/>
    <col collapsed="false" customWidth="true" hidden="false" outlineLevel="0" max="12" min="3" style="0" width="11"/>
  </cols>
  <sheetData>
    <row r="1" customFormat="false" ht="21.75" hidden="false" customHeight="true" outlineLevel="0" collapsed="false">
      <c r="A1" s="1" t="s">
        <v>16</v>
      </c>
    </row>
    <row r="2" customFormat="false" ht="15" hidden="false" customHeight="false" outlineLevel="0" collapsed="false">
      <c r="A2" s="2" t="s">
        <v>149</v>
      </c>
    </row>
    <row r="4" customFormat="false" ht="30" hidden="false" customHeight="true" outlineLevel="0" collapsed="false">
      <c r="A4" s="5" t="s">
        <v>96</v>
      </c>
      <c r="B4" s="5" t="s">
        <v>150</v>
      </c>
      <c r="C4" s="5" t="s">
        <v>106</v>
      </c>
      <c r="D4" s="5" t="s">
        <v>107</v>
      </c>
      <c r="E4" s="5" t="s">
        <v>108</v>
      </c>
      <c r="F4" s="5" t="s">
        <v>109</v>
      </c>
      <c r="G4" s="5" t="s">
        <v>110</v>
      </c>
      <c r="H4" s="5" t="s">
        <v>111</v>
      </c>
      <c r="I4" s="5" t="s">
        <v>112</v>
      </c>
      <c r="J4" s="5" t="s">
        <v>113</v>
      </c>
      <c r="K4" s="5" t="s">
        <v>114</v>
      </c>
      <c r="L4" s="5" t="s">
        <v>115</v>
      </c>
    </row>
    <row r="5" customFormat="false" ht="15" hidden="false" customHeight="false" outlineLevel="0" collapsed="false">
      <c r="A5" s="7" t="s">
        <v>100</v>
      </c>
      <c r="B5" s="12" t="s">
        <v>151</v>
      </c>
      <c r="C5" s="23" t="n">
        <f aca="false">Assumptions!$B$6*(1+Assumptions!$B$15)^0-Assumptions!$C$15*Assumptions!C$23+Assumptions!$D$15*(Assumptions!C$24+Assumptions!C$25)</f>
        <v>68</v>
      </c>
      <c r="D5" s="23" t="n">
        <f aca="false">Assumptions!$B$6*(1+Assumptions!$B$15)^1-Assumptions!$C$15*Assumptions!D$23+Assumptions!$D$15*(Assumptions!D$24+Assumptions!D$25)</f>
        <v>70.19</v>
      </c>
      <c r="E5" s="23" t="n">
        <f aca="false">Assumptions!$B$6*(1+Assumptions!$B$15)^2-Assumptions!$C$15*Assumptions!E$23+Assumptions!$D$15*(Assumptions!E$24+Assumptions!E$25)</f>
        <v>71.1912</v>
      </c>
      <c r="F5" s="23" t="n">
        <f aca="false">Assumptions!$B$6*(1+Assumptions!$B$15)^3-Assumptions!$C$15*Assumptions!F$23+Assumptions!$D$15*(Assumptions!F$24+Assumptions!F$25)</f>
        <v>71.305436</v>
      </c>
      <c r="G5" s="23" t="n">
        <f aca="false">Assumptions!$B$6*(1+Assumptions!$B$15)^4-Assumptions!$C$15*Assumptions!G$23+Assumptions!$D$15*(Assumptions!G$24+Assumptions!G$25)</f>
        <v>71.53459908</v>
      </c>
      <c r="H5" s="23" t="n">
        <f aca="false">Assumptions!$B$6*(1+Assumptions!$B$15)^5-Assumptions!$C$15*Assumptions!H$23+Assumptions!$D$15*(Assumptions!H$24+Assumptions!H$25)</f>
        <v>73.5806370524</v>
      </c>
      <c r="I5" s="23" t="n">
        <f aca="false">Assumptions!$B$6*(1+Assumptions!$B$15)^6-Assumptions!$C$15*Assumptions!I$23+Assumptions!$D$15*(Assumptions!I$24+Assumptions!I$25)</f>
        <v>75.445556163972</v>
      </c>
      <c r="J5" s="23" t="n">
        <f aca="false">Assumptions!$B$6*(1+Assumptions!$B$15)^7-Assumptions!$C$15*Assumptions!J$23+Assumptions!$D$15*(Assumptions!J$24+Assumptions!J$25)</f>
        <v>77.4814228488912</v>
      </c>
      <c r="K5" s="23" t="n">
        <f aca="false">Assumptions!$B$6*(1+Assumptions!$B$15)^8-Assumptions!$C$15*Assumptions!K$23+Assumptions!$D$15*(Assumptions!K$24+Assumptions!K$25)</f>
        <v>79.3903655343579</v>
      </c>
      <c r="L5" s="23" t="n">
        <f aca="false">Assumptions!$B$6*(1+Assumptions!$B$15)^9-Assumptions!$C$15*Assumptions!L$23+Assumptions!$D$15*(Assumptions!L$24+Assumptions!L$25)</f>
        <v>81.2245765003887</v>
      </c>
    </row>
    <row r="6" customFormat="false" ht="15" hidden="false" customHeight="false" outlineLevel="0" collapsed="false">
      <c r="A6" s="19" t="s">
        <v>101</v>
      </c>
      <c r="B6" s="24" t="s">
        <v>151</v>
      </c>
      <c r="C6" s="28" t="n">
        <f aca="false">Assumptions!$B$6*(1+Assumptions!$B$16)^0-Assumptions!$C$16*Assumptions!C$23+Assumptions!$D$16*(Assumptions!C$24+Assumptions!C$25)</f>
        <v>68</v>
      </c>
      <c r="D6" s="28" t="n">
        <f aca="false">Assumptions!$B$6*(1+Assumptions!$B$16)^1-Assumptions!$C$16*Assumptions!D$23+Assumptions!$D$16*(Assumptions!D$24+Assumptions!D$25)</f>
        <v>73.055</v>
      </c>
      <c r="E6" s="28" t="n">
        <f aca="false">Assumptions!$B$6*(1+Assumptions!$B$16)^2-Assumptions!$C$16*Assumptions!E$23+Assumptions!$D$16*(Assumptions!E$24+Assumptions!E$25)</f>
        <v>76.8777</v>
      </c>
      <c r="F6" s="28" t="n">
        <f aca="false">Assumptions!$B$6*(1+Assumptions!$B$16)^3-Assumptions!$C$16*Assumptions!F$23+Assumptions!$D$16*(Assumptions!F$24+Assumptions!F$25)</f>
        <v>80.0742965</v>
      </c>
      <c r="G6" s="28" t="n">
        <f aca="false">Assumptions!$B$6*(1+Assumptions!$B$16)^4-Assumptions!$C$16*Assumptions!G$23+Assumptions!$D$16*(Assumptions!G$24+Assumptions!G$25)</f>
        <v>82.3912648425</v>
      </c>
      <c r="H6" s="28" t="n">
        <f aca="false">Assumptions!$B$6*(1+Assumptions!$B$16)^5-Assumptions!$C$16*Assumptions!H$23+Assumptions!$D$16*(Assumptions!H$24+Assumptions!H$25)</f>
        <v>85.5403717604125</v>
      </c>
      <c r="I6" s="28" t="n">
        <f aca="false">Assumptions!$B$6*(1+Assumptions!$B$16)^6-Assumptions!$C$16*Assumptions!I$23+Assumptions!$D$16*(Assumptions!I$24+Assumptions!I$25)</f>
        <v>88.353688489631</v>
      </c>
      <c r="J6" s="28" t="n">
        <f aca="false">Assumptions!$B$6*(1+Assumptions!$B$16)^7-Assumptions!$C$16*Assumptions!J$23+Assumptions!$D$16*(Assumptions!J$24+Assumptions!J$25)</f>
        <v>91.5386044716644</v>
      </c>
      <c r="K6" s="28" t="n">
        <f aca="false">Assumptions!$B$6*(1+Assumptions!$B$16)^8-Assumptions!$C$16*Assumptions!K$23+Assumptions!$D$16*(Assumptions!K$24+Assumptions!K$25)</f>
        <v>94.5028416728893</v>
      </c>
      <c r="L6" s="28" t="n">
        <f aca="false">Assumptions!$B$6*(1+Assumptions!$B$16)^9-Assumptions!$C$16*Assumptions!L$23+Assumptions!$D$16*(Assumptions!L$24+Assumptions!L$25)</f>
        <v>97.3544695481693</v>
      </c>
    </row>
    <row r="7" customFormat="false" ht="15" hidden="false" customHeight="false" outlineLevel="0" collapsed="false">
      <c r="A7" s="7" t="s">
        <v>102</v>
      </c>
      <c r="B7" s="12" t="s">
        <v>151</v>
      </c>
      <c r="C7" s="23" t="n">
        <f aca="false">Assumptions!$B$6*(1+Assumptions!$B$17)^0-Assumptions!$C$17*Assumptions!C$23+Assumptions!$D$17*(Assumptions!C$24+Assumptions!C$25)</f>
        <v>68</v>
      </c>
      <c r="D7" s="23" t="n">
        <f aca="false">Assumptions!$B$6*(1+Assumptions!$B$17)^1-Assumptions!$C$17*Assumptions!D$23+Assumptions!$D$17*(Assumptions!D$24+Assumptions!D$25)</f>
        <v>74.44</v>
      </c>
      <c r="E7" s="23" t="n">
        <f aca="false">Assumptions!$B$6*(1+Assumptions!$B$17)^2-Assumptions!$C$17*Assumptions!E$23+Assumptions!$D$17*(Assumptions!E$24+Assumptions!E$25)</f>
        <v>79.9157</v>
      </c>
      <c r="F7" s="23" t="n">
        <f aca="false">Assumptions!$B$6*(1+Assumptions!$B$17)^3-Assumptions!$C$17*Assumptions!F$23+Assumptions!$D$17*(Assumptions!F$24+Assumptions!F$25)</f>
        <v>85.0984135</v>
      </c>
      <c r="G7" s="23" t="n">
        <f aca="false">Assumptions!$B$6*(1+Assumptions!$B$17)^4-Assumptions!$C$17*Assumptions!G$23+Assumptions!$D$17*(Assumptions!G$24+Assumptions!G$25)</f>
        <v>89.0400762425</v>
      </c>
      <c r="H7" s="23" t="n">
        <f aca="false">Assumptions!$B$6*(1+Assumptions!$B$17)^5-Assumptions!$C$17*Assumptions!H$23+Assumptions!$D$17*(Assumptions!H$24+Assumptions!H$25)</f>
        <v>93.1232804358375</v>
      </c>
      <c r="I7" s="23" t="n">
        <f aca="false">Assumptions!$B$6*(1+Assumptions!$B$17)^6-Assumptions!$C$17*Assumptions!I$23+Assumptions!$D$17*(Assumptions!I$24+Assumptions!I$25)</f>
        <v>96.9113108598085</v>
      </c>
      <c r="J7" s="23" t="n">
        <f aca="false">Assumptions!$B$6*(1+Assumptions!$B$17)^7-Assumptions!$C$17*Assumptions!J$23+Assumptions!$D$17*(Assumptions!J$24+Assumptions!J$25)</f>
        <v>101.188182957098</v>
      </c>
      <c r="K7" s="23" t="n">
        <f aca="false">Assumptions!$B$6*(1+Assumptions!$B$17)^8-Assumptions!$C$17*Assumptions!K$23+Assumptions!$D$17*(Assumptions!K$24+Assumptions!K$25)</f>
        <v>105.308683019738</v>
      </c>
      <c r="L7" s="23" t="n">
        <f aca="false">Assumptions!$B$6*(1+Assumptions!$B$17)^9-Assumptions!$C$17*Assumptions!L$23+Assumptions!$D$17*(Assumptions!L$24+Assumptions!L$25)</f>
        <v>109.398410585824</v>
      </c>
    </row>
    <row r="9" customFormat="false" ht="30" hidden="false" customHeight="true" outlineLevel="0" collapsed="false">
      <c r="A9" s="5" t="s">
        <v>152</v>
      </c>
      <c r="B9" s="5" t="s">
        <v>78</v>
      </c>
      <c r="C9" s="5" t="s">
        <v>106</v>
      </c>
      <c r="D9" s="5" t="s">
        <v>107</v>
      </c>
      <c r="E9" s="5" t="s">
        <v>108</v>
      </c>
      <c r="F9" s="5" t="s">
        <v>109</v>
      </c>
      <c r="G9" s="5" t="s">
        <v>110</v>
      </c>
      <c r="H9" s="5" t="s">
        <v>111</v>
      </c>
      <c r="I9" s="5" t="s">
        <v>112</v>
      </c>
      <c r="J9" s="5" t="s">
        <v>113</v>
      </c>
      <c r="K9" s="5" t="s">
        <v>114</v>
      </c>
      <c r="L9" s="5" t="s">
        <v>115</v>
      </c>
    </row>
    <row r="10" customFormat="false" ht="15" hidden="false" customHeight="false" outlineLevel="0" collapsed="false">
      <c r="A10" s="7" t="s">
        <v>153</v>
      </c>
      <c r="B10" s="12" t="s">
        <v>154</v>
      </c>
      <c r="C10" s="29" t="n">
        <f aca="false">C7-C5</f>
        <v>0</v>
      </c>
      <c r="D10" s="29" t="n">
        <f aca="false">D7-D5</f>
        <v>4.24999999999999</v>
      </c>
      <c r="E10" s="29" t="n">
        <f aca="false">E7-E5</f>
        <v>8.72449999999999</v>
      </c>
      <c r="F10" s="29" t="n">
        <f aca="false">F7-F5</f>
        <v>13.7929775</v>
      </c>
      <c r="G10" s="29" t="n">
        <f aca="false">G7-G5</f>
        <v>17.5054771625</v>
      </c>
      <c r="H10" s="29" t="n">
        <f aca="false">H7-H5</f>
        <v>19.5426433834375</v>
      </c>
      <c r="I10" s="29" t="n">
        <f aca="false">I7-I5</f>
        <v>21.4657546958365</v>
      </c>
      <c r="J10" s="29" t="n">
        <f aca="false">J7-J5</f>
        <v>23.7067601082068</v>
      </c>
      <c r="K10" s="29" t="n">
        <f aca="false">K7-K5</f>
        <v>25.9183174853805</v>
      </c>
      <c r="L10" s="29" t="n">
        <f aca="false">L7-L5</f>
        <v>28.1738340854353</v>
      </c>
    </row>
    <row r="11" customFormat="false" ht="15" hidden="false" customHeight="false" outlineLevel="0" collapsed="false">
      <c r="A11" s="6" t="s">
        <v>155</v>
      </c>
      <c r="B11" s="12" t="s">
        <v>154</v>
      </c>
      <c r="C11" s="26" t="n">
        <f aca="false">C10/C5</f>
        <v>0</v>
      </c>
      <c r="D11" s="26" t="n">
        <f aca="false">D10/D5</f>
        <v>0.060549935888303</v>
      </c>
      <c r="E11" s="26" t="n">
        <f aca="false">E10/E5</f>
        <v>0.122550259020778</v>
      </c>
      <c r="F11" s="26" t="n">
        <f aca="false">F10/F5</f>
        <v>0.193435147076304</v>
      </c>
      <c r="G11" s="26" t="n">
        <f aca="false">G10/G5</f>
        <v>0.244713430810214</v>
      </c>
      <c r="H11" s="26" t="n">
        <f aca="false">H10/H5</f>
        <v>0.265594919618871</v>
      </c>
      <c r="I11" s="26" t="n">
        <f aca="false">I10/I5</f>
        <v>0.284519801924228</v>
      </c>
      <c r="J11" s="26" t="n">
        <f aca="false">J10/J5</f>
        <v>0.305967020693994</v>
      </c>
      <c r="K11" s="26" t="n">
        <f aca="false">K10/K5</f>
        <v>0.32646678612613</v>
      </c>
      <c r="L11" s="26" t="n">
        <f aca="false">L10/L5</f>
        <v>0.346863416213694</v>
      </c>
    </row>
    <row r="13" customFormat="false" ht="15" hidden="false" customHeight="false" outlineLevel="0" collapsed="false">
      <c r="A13" s="3" t="s">
        <v>156</v>
      </c>
    </row>
    <row r="14" customFormat="false" ht="30" hidden="false" customHeight="true" outlineLevel="0" collapsed="false">
      <c r="A14" s="5" t="s">
        <v>96</v>
      </c>
      <c r="B14" s="5" t="s">
        <v>157</v>
      </c>
      <c r="C14" s="5" t="s">
        <v>158</v>
      </c>
      <c r="D14" s="5" t="s">
        <v>159</v>
      </c>
    </row>
    <row r="15" customFormat="false" ht="15" hidden="false" customHeight="false" outlineLevel="0" collapsed="false">
      <c r="A15" s="7" t="s">
        <v>100</v>
      </c>
      <c r="B15" s="15" t="n">
        <f aca="false">G5</f>
        <v>71.53459908</v>
      </c>
      <c r="C15" s="15" t="n">
        <f aca="false">L5</f>
        <v>81.2245765003887</v>
      </c>
      <c r="D15" s="16" t="n">
        <f aca="false">(L5/C5)^(1/9)-1</f>
        <v>0.0199418068965829</v>
      </c>
    </row>
    <row r="16" customFormat="false" ht="15" hidden="false" customHeight="false" outlineLevel="0" collapsed="false">
      <c r="A16" s="19" t="s">
        <v>101</v>
      </c>
      <c r="B16" s="25" t="n">
        <f aca="false">G6</f>
        <v>82.3912648425</v>
      </c>
      <c r="C16" s="25" t="n">
        <f aca="false">L6</f>
        <v>97.3544695481693</v>
      </c>
      <c r="D16" s="30" t="n">
        <f aca="false">(L6/C6)^(1/9)-1</f>
        <v>0.0406778986328729</v>
      </c>
    </row>
    <row r="17" customFormat="false" ht="15" hidden="false" customHeight="false" outlineLevel="0" collapsed="false">
      <c r="A17" s="7" t="s">
        <v>102</v>
      </c>
      <c r="B17" s="15" t="n">
        <f aca="false">G7</f>
        <v>89.0400762425</v>
      </c>
      <c r="C17" s="15" t="n">
        <f aca="false">L7</f>
        <v>109.398410585824</v>
      </c>
      <c r="D17" s="16" t="n">
        <f aca="false">(L7/C7)^(1/9)-1</f>
        <v>0.0542525926896966</v>
      </c>
    </row>
    <row r="19" customFormat="false" ht="43.25" hidden="false" customHeight="false" outlineLevel="0" collapsed="false">
      <c r="A19" s="4"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724A"/>
    <pageSetUpPr fitToPage="false"/>
  </sheetPr>
  <dimension ref="A1:E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4" min="2" style="0" width="14"/>
    <col collapsed="false" customWidth="true" hidden="false" outlineLevel="0" max="5" min="5" style="0" width="58"/>
  </cols>
  <sheetData>
    <row r="1" customFormat="false" ht="21.75" hidden="false" customHeight="true" outlineLevel="0" collapsed="false">
      <c r="A1" s="1" t="s">
        <v>18</v>
      </c>
    </row>
    <row r="2" customFormat="false" ht="15" hidden="false" customHeight="false" outlineLevel="0" collapsed="false">
      <c r="A2" s="2" t="s">
        <v>161</v>
      </c>
    </row>
    <row r="4" customFormat="false" ht="15" hidden="false" customHeight="false" outlineLevel="0" collapsed="false">
      <c r="A4" s="3" t="s">
        <v>162</v>
      </c>
    </row>
    <row r="5" customFormat="false" ht="30" hidden="false" customHeight="true" outlineLevel="0" collapsed="false">
      <c r="A5" s="5" t="s">
        <v>138</v>
      </c>
      <c r="B5" s="5" t="s">
        <v>76</v>
      </c>
      <c r="C5" s="5" t="s">
        <v>77</v>
      </c>
      <c r="D5" s="5" t="s">
        <v>163</v>
      </c>
      <c r="E5" s="5" t="s">
        <v>164</v>
      </c>
    </row>
    <row r="6" customFormat="false" ht="15" hidden="false" customHeight="false" outlineLevel="0" collapsed="false">
      <c r="A6" s="7" t="s">
        <v>165</v>
      </c>
      <c r="B6" s="31" t="n">
        <v>626</v>
      </c>
      <c r="C6" s="6" t="s">
        <v>80</v>
      </c>
      <c r="D6" s="26"/>
      <c r="E6" s="12" t="s">
        <v>166</v>
      </c>
    </row>
    <row r="7" customFormat="false" ht="15" hidden="false" customHeight="false" outlineLevel="0" collapsed="false">
      <c r="A7" s="6" t="s">
        <v>167</v>
      </c>
      <c r="B7" s="17" t="n">
        <v>0.023</v>
      </c>
      <c r="C7" s="6" t="s">
        <v>93</v>
      </c>
      <c r="D7" s="6"/>
      <c r="E7" s="12" t="s">
        <v>168</v>
      </c>
    </row>
    <row r="8" customFormat="false" ht="15" hidden="false" customHeight="false" outlineLevel="0" collapsed="false">
      <c r="A8" s="7" t="s">
        <v>169</v>
      </c>
      <c r="B8" s="31" t="n">
        <v>175</v>
      </c>
      <c r="C8" s="6" t="s">
        <v>80</v>
      </c>
      <c r="D8" s="26" t="n">
        <f aca="false">B8/B6</f>
        <v>0.279552715654952</v>
      </c>
      <c r="E8" s="12" t="s">
        <v>170</v>
      </c>
    </row>
    <row r="9" customFormat="false" ht="15" hidden="false" customHeight="false" outlineLevel="0" collapsed="false">
      <c r="A9" s="7" t="s">
        <v>171</v>
      </c>
      <c r="B9" s="32" t="n">
        <v>59</v>
      </c>
      <c r="C9" s="6" t="s">
        <v>80</v>
      </c>
      <c r="D9" s="26" t="n">
        <f aca="false">B9/B8</f>
        <v>0.337142857142857</v>
      </c>
      <c r="E9" s="12" t="s">
        <v>172</v>
      </c>
    </row>
    <row r="10" customFormat="false" ht="15" hidden="false" customHeight="false" outlineLevel="0" collapsed="false">
      <c r="A10" s="6" t="s">
        <v>173</v>
      </c>
      <c r="B10" s="31" t="n">
        <v>114</v>
      </c>
      <c r="C10" s="6" t="s">
        <v>80</v>
      </c>
      <c r="D10" s="26" t="n">
        <f aca="false">B10/B8</f>
        <v>0.651428571428572</v>
      </c>
      <c r="E10" s="12" t="s">
        <v>174</v>
      </c>
    </row>
    <row r="11" customFormat="false" ht="15" hidden="false" customHeight="false" outlineLevel="0" collapsed="false">
      <c r="A11" s="7" t="s">
        <v>175</v>
      </c>
      <c r="B11" s="17" t="n">
        <v>0.92</v>
      </c>
      <c r="C11" s="6" t="s">
        <v>93</v>
      </c>
      <c r="D11" s="6"/>
      <c r="E11" s="12" t="s">
        <v>176</v>
      </c>
    </row>
    <row r="12" customFormat="false" ht="15" hidden="false" customHeight="false" outlineLevel="0" collapsed="false">
      <c r="A12" s="7" t="s">
        <v>177</v>
      </c>
      <c r="B12" s="17" t="n">
        <v>0.08</v>
      </c>
      <c r="C12" s="6" t="s">
        <v>93</v>
      </c>
      <c r="D12" s="6"/>
      <c r="E12" s="12" t="s">
        <v>168</v>
      </c>
    </row>
    <row r="13" customFormat="false" ht="15" hidden="false" customHeight="false" outlineLevel="0" collapsed="false">
      <c r="A13" s="6" t="s">
        <v>178</v>
      </c>
      <c r="B13" s="17" t="n">
        <v>0.567</v>
      </c>
      <c r="C13" s="6" t="s">
        <v>93</v>
      </c>
      <c r="D13" s="6"/>
      <c r="E13" s="12" t="s">
        <v>179</v>
      </c>
    </row>
    <row r="14" customFormat="false" ht="15" hidden="false" customHeight="false" outlineLevel="0" collapsed="false">
      <c r="A14" s="6" t="s">
        <v>180</v>
      </c>
      <c r="B14" s="17" t="n">
        <v>0.79</v>
      </c>
      <c r="C14" s="6" t="s">
        <v>93</v>
      </c>
      <c r="D14" s="6"/>
      <c r="E14" s="12" t="s">
        <v>181</v>
      </c>
    </row>
    <row r="16" customFormat="false" ht="15" hidden="false" customHeight="false" outlineLevel="0" collapsed="false">
      <c r="A16" s="3" t="s">
        <v>182</v>
      </c>
    </row>
    <row r="17" customFormat="false" ht="30" hidden="false" customHeight="true" outlineLevel="0" collapsed="false">
      <c r="A17" s="5" t="s">
        <v>183</v>
      </c>
      <c r="B17" s="5" t="s">
        <v>76</v>
      </c>
      <c r="C17" s="5" t="s">
        <v>77</v>
      </c>
      <c r="D17" s="5" t="s">
        <v>78</v>
      </c>
      <c r="E17" s="5" t="s">
        <v>184</v>
      </c>
    </row>
    <row r="18" customFormat="false" ht="15" hidden="false" customHeight="false" outlineLevel="0" collapsed="false">
      <c r="A18" s="7" t="s">
        <v>185</v>
      </c>
      <c r="B18" s="14" t="n">
        <v>36.5</v>
      </c>
      <c r="C18" s="6" t="s">
        <v>80</v>
      </c>
      <c r="D18" s="12" t="s">
        <v>186</v>
      </c>
      <c r="E18" s="12" t="s">
        <v>187</v>
      </c>
    </row>
    <row r="19" customFormat="false" ht="15" hidden="false" customHeight="false" outlineLevel="0" collapsed="false">
      <c r="A19" s="6" t="s">
        <v>188</v>
      </c>
      <c r="B19" s="14" t="n">
        <v>34.8</v>
      </c>
      <c r="C19" s="6" t="s">
        <v>80</v>
      </c>
      <c r="D19" s="12" t="s">
        <v>186</v>
      </c>
      <c r="E19" s="12" t="s">
        <v>189</v>
      </c>
    </row>
    <row r="20" customFormat="false" ht="22.35" hidden="false" customHeight="false" outlineLevel="0" collapsed="false">
      <c r="A20" s="7" t="s">
        <v>190</v>
      </c>
      <c r="B20" s="14" t="n">
        <v>54.3</v>
      </c>
      <c r="C20" s="6" t="s">
        <v>80</v>
      </c>
      <c r="D20" s="12" t="s">
        <v>186</v>
      </c>
      <c r="E20" s="12" t="s">
        <v>191</v>
      </c>
    </row>
    <row r="21" customFormat="false" ht="15" hidden="false" customHeight="false" outlineLevel="0" collapsed="false">
      <c r="A21" s="6" t="s">
        <v>192</v>
      </c>
      <c r="B21" s="14" t="n">
        <v>53</v>
      </c>
      <c r="C21" s="6" t="s">
        <v>80</v>
      </c>
      <c r="D21" s="12" t="s">
        <v>186</v>
      </c>
      <c r="E21" s="12" t="s">
        <v>193</v>
      </c>
    </row>
    <row r="22" customFormat="false" ht="22.35" hidden="false" customHeight="false" outlineLevel="0" collapsed="false">
      <c r="A22" s="7" t="s">
        <v>194</v>
      </c>
      <c r="B22" s="15" t="n">
        <f aca="false">B18+B20</f>
        <v>90.8</v>
      </c>
      <c r="C22" s="6" t="s">
        <v>80</v>
      </c>
      <c r="D22" s="12" t="s">
        <v>195</v>
      </c>
      <c r="E22" s="12" t="s">
        <v>196</v>
      </c>
    </row>
    <row r="24" customFormat="false" ht="15" hidden="false" customHeight="false" outlineLevel="0" collapsed="false">
      <c r="A24" s="3" t="s">
        <v>197</v>
      </c>
    </row>
    <row r="25" customFormat="false" ht="30" hidden="false" customHeight="true" outlineLevel="0" collapsed="false">
      <c r="A25" s="5" t="s">
        <v>138</v>
      </c>
      <c r="B25" s="5" t="s">
        <v>76</v>
      </c>
      <c r="C25" s="5" t="s">
        <v>77</v>
      </c>
      <c r="D25" s="5" t="s">
        <v>198</v>
      </c>
      <c r="E25" s="5" t="s">
        <v>164</v>
      </c>
    </row>
    <row r="26" customFormat="false" ht="15" hidden="false" customHeight="false" outlineLevel="0" collapsed="false">
      <c r="A26" s="7" t="s">
        <v>199</v>
      </c>
      <c r="B26" s="31" t="n">
        <v>350</v>
      </c>
      <c r="C26" s="6" t="s">
        <v>80</v>
      </c>
      <c r="D26" s="12" t="s">
        <v>200</v>
      </c>
      <c r="E26" s="12" t="s">
        <v>201</v>
      </c>
    </row>
    <row r="27" customFormat="false" ht="15" hidden="false" customHeight="false" outlineLevel="0" collapsed="false">
      <c r="A27" s="6" t="s">
        <v>202</v>
      </c>
      <c r="B27" s="29" t="n">
        <f aca="false">B26/13</f>
        <v>26.9230769230769</v>
      </c>
      <c r="C27" s="6" t="s">
        <v>80</v>
      </c>
      <c r="D27" s="12" t="s">
        <v>195</v>
      </c>
      <c r="E27" s="12" t="s">
        <v>203</v>
      </c>
    </row>
    <row r="28" customFormat="false" ht="15" hidden="false" customHeight="false" outlineLevel="0" collapsed="false">
      <c r="A28" s="7" t="s">
        <v>204</v>
      </c>
      <c r="B28" s="31" t="n">
        <v>226</v>
      </c>
      <c r="C28" s="6" t="s">
        <v>80</v>
      </c>
      <c r="D28" s="12" t="s">
        <v>200</v>
      </c>
      <c r="E28" s="12" t="s">
        <v>205</v>
      </c>
    </row>
    <row r="29" customFormat="false" ht="15" hidden="false" customHeight="false" outlineLevel="0" collapsed="false">
      <c r="A29" s="6" t="s">
        <v>202</v>
      </c>
      <c r="B29" s="29" t="n">
        <f aca="false">B28/13</f>
        <v>17.3846153846154</v>
      </c>
      <c r="C29" s="6" t="s">
        <v>80</v>
      </c>
      <c r="D29" s="12" t="s">
        <v>195</v>
      </c>
      <c r="E29" s="12" t="s">
        <v>203</v>
      </c>
    </row>
    <row r="30" customFormat="false" ht="15" hidden="false" customHeight="false" outlineLevel="0" collapsed="false">
      <c r="A30" s="6" t="s">
        <v>206</v>
      </c>
      <c r="B30" s="31" t="n">
        <v>279</v>
      </c>
      <c r="C30" s="6" t="s">
        <v>80</v>
      </c>
      <c r="D30" s="12" t="s">
        <v>207</v>
      </c>
      <c r="E30" s="12" t="s">
        <v>205</v>
      </c>
    </row>
    <row r="31" customFormat="false" ht="15" hidden="false" customHeight="false" outlineLevel="0" collapsed="false">
      <c r="A31" s="6" t="s">
        <v>208</v>
      </c>
      <c r="B31" s="31" t="n">
        <v>492</v>
      </c>
      <c r="C31" s="6" t="s">
        <v>80</v>
      </c>
      <c r="D31" s="12" t="s">
        <v>209</v>
      </c>
      <c r="E31" s="12" t="s">
        <v>205</v>
      </c>
    </row>
    <row r="32" customFormat="false" ht="15" hidden="false" customHeight="false" outlineLevel="0" collapsed="false">
      <c r="A32" s="6" t="s">
        <v>210</v>
      </c>
      <c r="B32" s="26" t="n">
        <f aca="false">B31/B30-1</f>
        <v>0.763440860215054</v>
      </c>
      <c r="C32" s="6" t="s">
        <v>93</v>
      </c>
      <c r="D32" s="12" t="s">
        <v>195</v>
      </c>
      <c r="E32" s="12" t="s">
        <v>211</v>
      </c>
    </row>
    <row r="34" customFormat="false" ht="15" hidden="false" customHeight="false" outlineLevel="0" collapsed="false">
      <c r="A34" s="3" t="s">
        <v>212</v>
      </c>
    </row>
    <row r="35" customFormat="false" ht="30" hidden="false" customHeight="true" outlineLevel="0" collapsed="false">
      <c r="A35" s="5" t="s">
        <v>138</v>
      </c>
      <c r="B35" s="5" t="s">
        <v>76</v>
      </c>
      <c r="C35" s="5" t="s">
        <v>77</v>
      </c>
      <c r="D35" s="5" t="s">
        <v>198</v>
      </c>
      <c r="E35" s="5" t="s">
        <v>164</v>
      </c>
    </row>
    <row r="36" customFormat="false" ht="15" hidden="false" customHeight="false" outlineLevel="0" collapsed="false">
      <c r="A36" s="7" t="s">
        <v>213</v>
      </c>
      <c r="B36" s="17" t="n">
        <v>0.051</v>
      </c>
      <c r="C36" s="6" t="s">
        <v>93</v>
      </c>
      <c r="D36" s="12" t="s">
        <v>214</v>
      </c>
      <c r="E36" s="12" t="s">
        <v>215</v>
      </c>
    </row>
    <row r="37" customFormat="false" ht="15" hidden="false" customHeight="false" outlineLevel="0" collapsed="false">
      <c r="A37" s="7" t="s">
        <v>216</v>
      </c>
      <c r="B37" s="17" t="n">
        <v>0.242</v>
      </c>
      <c r="C37" s="6" t="s">
        <v>93</v>
      </c>
      <c r="D37" s="12" t="s">
        <v>217</v>
      </c>
      <c r="E37" s="12" t="s">
        <v>218</v>
      </c>
    </row>
    <row r="38" customFormat="false" ht="15" hidden="false" customHeight="false" outlineLevel="0" collapsed="false">
      <c r="A38" s="7" t="s">
        <v>219</v>
      </c>
      <c r="B38" s="17" t="n">
        <v>0.06</v>
      </c>
      <c r="C38" s="6" t="s">
        <v>93</v>
      </c>
      <c r="D38" s="12" t="s">
        <v>220</v>
      </c>
      <c r="E38" s="12" t="s">
        <v>218</v>
      </c>
    </row>
    <row r="39" customFormat="false" ht="15" hidden="false" customHeight="false" outlineLevel="0" collapsed="false">
      <c r="A39" s="7" t="s">
        <v>221</v>
      </c>
      <c r="B39" s="17" t="n">
        <v>0.048</v>
      </c>
      <c r="C39" s="6" t="s">
        <v>93</v>
      </c>
      <c r="D39" s="12" t="s">
        <v>220</v>
      </c>
      <c r="E39" s="12" t="s">
        <v>218</v>
      </c>
    </row>
    <row r="40" customFormat="false" ht="15" hidden="false" customHeight="false" outlineLevel="0" collapsed="false">
      <c r="A40" s="7" t="s">
        <v>222</v>
      </c>
      <c r="B40" s="14" t="n">
        <v>27.9</v>
      </c>
      <c r="C40" s="6" t="s">
        <v>80</v>
      </c>
      <c r="D40" s="12" t="s">
        <v>223</v>
      </c>
      <c r="E40" s="12" t="s">
        <v>224</v>
      </c>
    </row>
    <row r="41" customFormat="false" ht="15" hidden="false" customHeight="false" outlineLevel="0" collapsed="false">
      <c r="A41" s="7" t="s">
        <v>225</v>
      </c>
      <c r="B41" s="14" t="n">
        <v>39.9</v>
      </c>
      <c r="C41" s="6" t="s">
        <v>80</v>
      </c>
      <c r="D41" s="12" t="s">
        <v>226</v>
      </c>
      <c r="E41" s="12" t="s">
        <v>224</v>
      </c>
    </row>
    <row r="42" customFormat="false" ht="15" hidden="false" customHeight="false" outlineLevel="0" collapsed="false">
      <c r="A42" s="7" t="s">
        <v>227</v>
      </c>
      <c r="B42" s="17" t="n">
        <v>0.195</v>
      </c>
      <c r="C42" s="6" t="s">
        <v>93</v>
      </c>
      <c r="D42" s="12" t="s">
        <v>228</v>
      </c>
      <c r="E42" s="12" t="s">
        <v>218</v>
      </c>
    </row>
    <row r="43" customFormat="false" ht="15" hidden="false" customHeight="false" outlineLevel="0" collapsed="false">
      <c r="A43" s="7" t="s">
        <v>229</v>
      </c>
      <c r="B43" s="14" t="n">
        <v>6.75</v>
      </c>
      <c r="C43" s="6" t="s">
        <v>230</v>
      </c>
      <c r="D43" s="12" t="s">
        <v>228</v>
      </c>
      <c r="E43" s="12" t="s">
        <v>218</v>
      </c>
    </row>
    <row r="44" customFormat="false" ht="15" hidden="false" customHeight="false" outlineLevel="0" collapsed="false">
      <c r="A44" s="7" t="s">
        <v>231</v>
      </c>
      <c r="B44" s="14" t="n">
        <v>6.4</v>
      </c>
      <c r="C44" s="6" t="s">
        <v>86</v>
      </c>
      <c r="D44" s="12" t="s">
        <v>228</v>
      </c>
      <c r="E44" s="12" t="s">
        <v>218</v>
      </c>
    </row>
    <row r="46" customFormat="false" ht="43.25" hidden="false" customHeight="false" outlineLevel="0" collapsed="false">
      <c r="A46" s="4" t="s">
        <v>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724A"/>
    <pageSetUpPr fitToPage="false"/>
  </sheetPr>
  <dimension ref="A1:E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2"/>
    <col collapsed="false" customWidth="true" hidden="false" outlineLevel="0" max="4" min="4" style="0" width="20"/>
    <col collapsed="false" customWidth="true" hidden="false" outlineLevel="0" max="5" min="5" style="0" width="52"/>
  </cols>
  <sheetData>
    <row r="1" customFormat="false" ht="21.75" hidden="false" customHeight="true" outlineLevel="0" collapsed="false">
      <c r="A1" s="1" t="s">
        <v>21</v>
      </c>
    </row>
    <row r="2" customFormat="false" ht="15" hidden="false" customHeight="false" outlineLevel="0" collapsed="false">
      <c r="A2" s="2" t="s">
        <v>233</v>
      </c>
    </row>
    <row r="4" customFormat="false" ht="15" hidden="false" customHeight="false" outlineLevel="0" collapsed="false">
      <c r="A4" s="3" t="s">
        <v>234</v>
      </c>
    </row>
    <row r="5" customFormat="false" ht="30" hidden="false" customHeight="true" outlineLevel="0" collapsed="false">
      <c r="A5" s="5" t="s">
        <v>235</v>
      </c>
      <c r="B5" s="5" t="s">
        <v>76</v>
      </c>
      <c r="C5" s="5" t="s">
        <v>77</v>
      </c>
      <c r="D5" s="5" t="s">
        <v>198</v>
      </c>
      <c r="E5" s="5" t="s">
        <v>164</v>
      </c>
    </row>
    <row r="6" customFormat="false" ht="15" hidden="false" customHeight="false" outlineLevel="0" collapsed="false">
      <c r="A6" s="7" t="s">
        <v>236</v>
      </c>
      <c r="B6" s="14" t="n">
        <v>2.7</v>
      </c>
      <c r="C6" s="6" t="s">
        <v>80</v>
      </c>
      <c r="D6" s="12" t="s">
        <v>237</v>
      </c>
      <c r="E6" s="12" t="s">
        <v>238</v>
      </c>
    </row>
    <row r="7" customFormat="false" ht="15" hidden="false" customHeight="false" outlineLevel="0" collapsed="false">
      <c r="A7" s="7" t="s">
        <v>239</v>
      </c>
      <c r="B7" s="14" t="n">
        <v>11.4</v>
      </c>
      <c r="C7" s="6" t="s">
        <v>80</v>
      </c>
      <c r="D7" s="12" t="s">
        <v>240</v>
      </c>
      <c r="E7" s="12" t="s">
        <v>241</v>
      </c>
    </row>
    <row r="8" customFormat="false" ht="15" hidden="false" customHeight="false" outlineLevel="0" collapsed="false">
      <c r="A8" s="7" t="s">
        <v>242</v>
      </c>
      <c r="B8" s="14" t="n">
        <v>1.64</v>
      </c>
      <c r="C8" s="6" t="s">
        <v>80</v>
      </c>
      <c r="D8" s="12" t="s">
        <v>237</v>
      </c>
      <c r="E8" s="12" t="s">
        <v>243</v>
      </c>
    </row>
    <row r="9" customFormat="false" ht="15" hidden="false" customHeight="false" outlineLevel="0" collapsed="false">
      <c r="A9" s="7" t="s">
        <v>244</v>
      </c>
      <c r="B9" s="14" t="n">
        <v>1.6</v>
      </c>
      <c r="C9" s="6" t="s">
        <v>80</v>
      </c>
      <c r="D9" s="12" t="s">
        <v>245</v>
      </c>
      <c r="E9" s="12" t="s">
        <v>243</v>
      </c>
    </row>
    <row r="10" customFormat="false" ht="15" hidden="false" customHeight="false" outlineLevel="0" collapsed="false">
      <c r="A10" s="7" t="s">
        <v>246</v>
      </c>
      <c r="B10" s="14" t="n">
        <v>2.6</v>
      </c>
      <c r="C10" s="6" t="s">
        <v>80</v>
      </c>
      <c r="D10" s="12" t="s">
        <v>245</v>
      </c>
      <c r="E10" s="12" t="s">
        <v>243</v>
      </c>
    </row>
    <row r="11" customFormat="false" ht="15" hidden="false" customHeight="false" outlineLevel="0" collapsed="false">
      <c r="A11" s="7" t="s">
        <v>247</v>
      </c>
      <c r="B11" s="14" t="n">
        <v>1.1</v>
      </c>
      <c r="C11" s="6" t="s">
        <v>80</v>
      </c>
      <c r="D11" s="12" t="s">
        <v>245</v>
      </c>
      <c r="E11" s="12" t="s">
        <v>243</v>
      </c>
    </row>
    <row r="12" customFormat="false" ht="15" hidden="false" customHeight="false" outlineLevel="0" collapsed="false">
      <c r="A12" s="7" t="s">
        <v>248</v>
      </c>
      <c r="B12" s="14" t="n">
        <v>2.6</v>
      </c>
      <c r="C12" s="6" t="s">
        <v>80</v>
      </c>
      <c r="D12" s="12" t="s">
        <v>245</v>
      </c>
      <c r="E12" s="12" t="s">
        <v>243</v>
      </c>
    </row>
    <row r="13" customFormat="false" ht="15" hidden="false" customHeight="false" outlineLevel="0" collapsed="false">
      <c r="A13" s="7" t="s">
        <v>249</v>
      </c>
      <c r="B13" s="14" t="n">
        <v>3.04</v>
      </c>
      <c r="C13" s="6" t="s">
        <v>80</v>
      </c>
      <c r="D13" s="12" t="s">
        <v>250</v>
      </c>
      <c r="E13" s="12" t="s">
        <v>251</v>
      </c>
    </row>
    <row r="14" customFormat="false" ht="32.8" hidden="false" customHeight="false" outlineLevel="0" collapsed="false">
      <c r="A14" s="4" t="s">
        <v>252</v>
      </c>
    </row>
    <row r="17" customFormat="false" ht="15" hidden="false" customHeight="false" outlineLevel="0" collapsed="false">
      <c r="A17" s="3" t="s">
        <v>253</v>
      </c>
    </row>
    <row r="18" customFormat="false" ht="30" hidden="false" customHeight="true" outlineLevel="0" collapsed="false">
      <c r="A18" s="5" t="s">
        <v>254</v>
      </c>
      <c r="B18" s="5" t="s">
        <v>255</v>
      </c>
      <c r="C18" s="5" t="s">
        <v>77</v>
      </c>
      <c r="D18" s="5" t="s">
        <v>198</v>
      </c>
      <c r="E18" s="5" t="s">
        <v>139</v>
      </c>
    </row>
    <row r="19" customFormat="false" ht="15" hidden="false" customHeight="false" outlineLevel="0" collapsed="false">
      <c r="A19" s="7" t="s">
        <v>256</v>
      </c>
      <c r="B19" s="14" t="n">
        <v>11.7</v>
      </c>
      <c r="C19" s="6" t="s">
        <v>80</v>
      </c>
      <c r="D19" s="12" t="s">
        <v>257</v>
      </c>
      <c r="E19" s="12" t="s">
        <v>258</v>
      </c>
    </row>
    <row r="20" customFormat="false" ht="15" hidden="false" customHeight="false" outlineLevel="0" collapsed="false">
      <c r="A20" s="7" t="s">
        <v>259</v>
      </c>
      <c r="B20" s="14" t="n">
        <v>11.7</v>
      </c>
      <c r="C20" s="6" t="s">
        <v>80</v>
      </c>
      <c r="D20" s="12" t="s">
        <v>257</v>
      </c>
      <c r="E20" s="12" t="s">
        <v>258</v>
      </c>
    </row>
    <row r="21" customFormat="false" ht="15" hidden="false" customHeight="false" outlineLevel="0" collapsed="false">
      <c r="A21" s="7" t="s">
        <v>260</v>
      </c>
      <c r="B21" s="14" t="n">
        <v>15</v>
      </c>
      <c r="C21" s="6" t="s">
        <v>80</v>
      </c>
      <c r="D21" s="12" t="s">
        <v>257</v>
      </c>
      <c r="E21" s="12" t="s">
        <v>261</v>
      </c>
    </row>
    <row r="22" customFormat="false" ht="15" hidden="false" customHeight="false" outlineLevel="0" collapsed="false">
      <c r="A22" s="7" t="s">
        <v>262</v>
      </c>
      <c r="B22" s="14" t="n">
        <v>4</v>
      </c>
      <c r="C22" s="6" t="s">
        <v>80</v>
      </c>
      <c r="D22" s="12" t="s">
        <v>257</v>
      </c>
      <c r="E22" s="12" t="s">
        <v>263</v>
      </c>
    </row>
    <row r="23" customFormat="false" ht="15" hidden="false" customHeight="false" outlineLevel="0" collapsed="false">
      <c r="A23" s="7" t="s">
        <v>264</v>
      </c>
      <c r="B23" s="14" t="n">
        <v>7.6</v>
      </c>
      <c r="C23" s="6" t="s">
        <v>80</v>
      </c>
      <c r="D23" s="12" t="s">
        <v>257</v>
      </c>
      <c r="E23" s="12" t="s">
        <v>265</v>
      </c>
    </row>
    <row r="24" customFormat="false" ht="15" hidden="false" customHeight="false" outlineLevel="0" collapsed="false">
      <c r="A24" s="19" t="s">
        <v>266</v>
      </c>
      <c r="B24" s="25" t="n">
        <f aca="false">SUM(B19:B23)</f>
        <v>50</v>
      </c>
      <c r="C24" s="33" t="s">
        <v>80</v>
      </c>
      <c r="D24" s="24" t="s">
        <v>257</v>
      </c>
      <c r="E24" s="24" t="s">
        <v>267</v>
      </c>
    </row>
    <row r="26" customFormat="false" ht="15" hidden="false" customHeight="false" outlineLevel="0" collapsed="false">
      <c r="A26" s="3" t="s">
        <v>268</v>
      </c>
    </row>
    <row r="27" customFormat="false" ht="30" hidden="false" customHeight="true" outlineLevel="0" collapsed="false">
      <c r="A27" s="5" t="s">
        <v>269</v>
      </c>
      <c r="B27" s="5" t="s">
        <v>76</v>
      </c>
      <c r="C27" s="5" t="s">
        <v>77</v>
      </c>
      <c r="D27" s="5"/>
      <c r="E27" s="5" t="s">
        <v>270</v>
      </c>
    </row>
    <row r="28" customFormat="false" ht="15" hidden="false" customHeight="false" outlineLevel="0" collapsed="false">
      <c r="A28" s="7" t="s">
        <v>271</v>
      </c>
      <c r="B28" s="23" t="n">
        <f aca="false">Assumptions!B8</f>
        <v>8.7</v>
      </c>
      <c r="C28" s="6" t="s">
        <v>86</v>
      </c>
      <c r="D28" s="6"/>
      <c r="E28" s="12" t="s">
        <v>272</v>
      </c>
    </row>
    <row r="29" customFormat="false" ht="15" hidden="false" customHeight="false" outlineLevel="0" collapsed="false">
      <c r="A29" s="6" t="s">
        <v>92</v>
      </c>
      <c r="B29" s="26" t="n">
        <f aca="false">B28/Assumptions!B6</f>
        <v>0.127941176470588</v>
      </c>
      <c r="C29" s="6" t="s">
        <v>93</v>
      </c>
      <c r="D29" s="6"/>
      <c r="E29" s="12" t="s">
        <v>273</v>
      </c>
    </row>
    <row r="30" customFormat="false" ht="22.35" hidden="false" customHeight="false" outlineLevel="0" collapsed="false">
      <c r="A30" s="7" t="s">
        <v>274</v>
      </c>
      <c r="B30" s="17" t="n">
        <v>0.67</v>
      </c>
      <c r="C30" s="6" t="s">
        <v>93</v>
      </c>
      <c r="D30" s="6"/>
      <c r="E30" s="12" t="s">
        <v>275</v>
      </c>
    </row>
    <row r="31" customFormat="false" ht="15" hidden="false" customHeight="false" outlineLevel="0" collapsed="false">
      <c r="A31" s="6" t="s">
        <v>276</v>
      </c>
      <c r="B31" s="15" t="n">
        <f aca="false">B30*B24</f>
        <v>33.5</v>
      </c>
      <c r="C31" s="6" t="s">
        <v>80</v>
      </c>
      <c r="D31" s="6"/>
      <c r="E31" s="12" t="s">
        <v>277</v>
      </c>
    </row>
    <row r="32" customFormat="false" ht="15" hidden="false" customHeight="false" outlineLevel="0" collapsed="false">
      <c r="A32" s="7" t="s">
        <v>278</v>
      </c>
      <c r="B32" s="23" t="n">
        <f aca="false">Assumptions!B9</f>
        <v>2</v>
      </c>
      <c r="C32" s="6" t="s">
        <v>86</v>
      </c>
      <c r="D32" s="6"/>
      <c r="E32" s="12" t="s">
        <v>279</v>
      </c>
    </row>
    <row r="33" customFormat="false" ht="15" hidden="false" customHeight="false" outlineLevel="0" collapsed="false">
      <c r="A33" s="19" t="s">
        <v>280</v>
      </c>
      <c r="B33" s="28" t="n">
        <f aca="false">Assumptions!B10</f>
        <v>6.7</v>
      </c>
      <c r="C33" s="33" t="s">
        <v>86</v>
      </c>
      <c r="D33" s="33"/>
      <c r="E33" s="24" t="s">
        <v>273</v>
      </c>
    </row>
    <row r="34" customFormat="false" ht="15" hidden="false" customHeight="false" outlineLevel="0" collapsed="false">
      <c r="A34" s="19" t="s">
        <v>92</v>
      </c>
      <c r="B34" s="34" t="n">
        <f aca="false">Assumptions!B11</f>
        <v>0.0985294117647059</v>
      </c>
      <c r="C34" s="33" t="s">
        <v>93</v>
      </c>
      <c r="D34" s="33"/>
      <c r="E34" s="24" t="s">
        <v>281</v>
      </c>
    </row>
    <row r="36" customFormat="false" ht="15" hidden="false" customHeight="false" outlineLevel="0" collapsed="false">
      <c r="A36" s="3" t="s">
        <v>282</v>
      </c>
    </row>
    <row r="37" customFormat="false" ht="30" hidden="false" customHeight="true" outlineLevel="0" collapsed="false">
      <c r="A37" s="5" t="s">
        <v>235</v>
      </c>
      <c r="B37" s="5" t="s">
        <v>76</v>
      </c>
      <c r="C37" s="5" t="s">
        <v>77</v>
      </c>
      <c r="D37" s="5" t="s">
        <v>283</v>
      </c>
      <c r="E37" s="5" t="s">
        <v>139</v>
      </c>
    </row>
    <row r="38" customFormat="false" ht="15" hidden="false" customHeight="false" outlineLevel="0" collapsed="false">
      <c r="A38" s="7" t="s">
        <v>284</v>
      </c>
      <c r="B38" s="14" t="n">
        <v>23</v>
      </c>
      <c r="C38" s="6" t="s">
        <v>80</v>
      </c>
      <c r="D38" s="12" t="s">
        <v>285</v>
      </c>
      <c r="E38" s="12" t="s">
        <v>286</v>
      </c>
    </row>
    <row r="39" customFormat="false" ht="15" hidden="false" customHeight="false" outlineLevel="0" collapsed="false">
      <c r="A39" s="7" t="s">
        <v>287</v>
      </c>
      <c r="B39" s="14" t="n">
        <v>51</v>
      </c>
      <c r="C39" s="6" t="s">
        <v>80</v>
      </c>
      <c r="D39" s="12" t="s">
        <v>285</v>
      </c>
      <c r="E39" s="12" t="s">
        <v>288</v>
      </c>
    </row>
    <row r="40" customFormat="false" ht="15" hidden="false" customHeight="false" outlineLevel="0" collapsed="false">
      <c r="A40" s="7" t="s">
        <v>289</v>
      </c>
      <c r="B40" s="14" t="n">
        <v>11</v>
      </c>
      <c r="C40" s="6" t="s">
        <v>80</v>
      </c>
      <c r="D40" s="12" t="s">
        <v>106</v>
      </c>
      <c r="E40" s="12" t="s">
        <v>290</v>
      </c>
    </row>
    <row r="41" customFormat="false" ht="15" hidden="false" customHeight="false" outlineLevel="0" collapsed="false">
      <c r="A41" s="7" t="s">
        <v>291</v>
      </c>
      <c r="B41" s="14" t="n">
        <v>1.2</v>
      </c>
      <c r="C41" s="6" t="s">
        <v>80</v>
      </c>
      <c r="D41" s="12" t="s">
        <v>245</v>
      </c>
      <c r="E41" s="12" t="s">
        <v>292</v>
      </c>
    </row>
    <row r="42" customFormat="false" ht="15" hidden="false" customHeight="false" outlineLevel="0" collapsed="false">
      <c r="A42" s="7" t="s">
        <v>293</v>
      </c>
      <c r="B42" s="14" t="n">
        <v>0.682</v>
      </c>
      <c r="C42" s="6" t="s">
        <v>80</v>
      </c>
      <c r="D42" s="12" t="s">
        <v>294</v>
      </c>
      <c r="E42" s="12" t="s">
        <v>295</v>
      </c>
    </row>
    <row r="43" customFormat="false" ht="15" hidden="false" customHeight="false" outlineLevel="0" collapsed="false">
      <c r="A43" s="7" t="s">
        <v>296</v>
      </c>
      <c r="B43" s="17" t="n">
        <v>-0.16</v>
      </c>
      <c r="C43" s="6" t="s">
        <v>93</v>
      </c>
      <c r="D43" s="12" t="s">
        <v>297</v>
      </c>
      <c r="E43" s="12" t="s">
        <v>298</v>
      </c>
    </row>
    <row r="44" customFormat="false" ht="15" hidden="false" customHeight="false" outlineLevel="0" collapsed="false">
      <c r="A44" s="7" t="s">
        <v>299</v>
      </c>
      <c r="B44" s="14" t="n">
        <v>0.91</v>
      </c>
      <c r="C44" s="6" t="s">
        <v>80</v>
      </c>
      <c r="D44" s="12" t="s">
        <v>297</v>
      </c>
      <c r="E44" s="12" t="s">
        <v>300</v>
      </c>
    </row>
    <row r="45" customFormat="false" ht="15" hidden="false" customHeight="false" outlineLevel="0" collapsed="false">
      <c r="A45" s="7" t="s">
        <v>301</v>
      </c>
      <c r="B45" s="14" t="n">
        <v>1</v>
      </c>
      <c r="C45" s="6" t="s">
        <v>80</v>
      </c>
      <c r="D45" s="12" t="s">
        <v>297</v>
      </c>
      <c r="E45" s="12" t="s">
        <v>302</v>
      </c>
    </row>
    <row r="46" customFormat="false" ht="15" hidden="false" customHeight="false" outlineLevel="0" collapsed="false">
      <c r="A46" s="7" t="s">
        <v>303</v>
      </c>
      <c r="B46" s="14" t="n">
        <v>14</v>
      </c>
      <c r="C46" s="6" t="s">
        <v>80</v>
      </c>
      <c r="D46" s="12" t="s">
        <v>304</v>
      </c>
      <c r="E46" s="12" t="s">
        <v>305</v>
      </c>
    </row>
    <row r="47" customFormat="false" ht="15" hidden="false" customHeight="false" outlineLevel="0" collapsed="false">
      <c r="A47" s="7" t="s">
        <v>306</v>
      </c>
      <c r="B47" s="14" t="n">
        <v>16.5</v>
      </c>
      <c r="C47" s="6" t="s">
        <v>80</v>
      </c>
      <c r="D47" s="12" t="s">
        <v>307</v>
      </c>
      <c r="E47" s="12" t="s">
        <v>308</v>
      </c>
    </row>
    <row r="48" customFormat="false" ht="15" hidden="false" customHeight="false" outlineLevel="0" collapsed="false">
      <c r="A48" s="7" t="s">
        <v>309</v>
      </c>
      <c r="B48" s="14" t="n">
        <v>0.065</v>
      </c>
      <c r="C48" s="6" t="s">
        <v>86</v>
      </c>
      <c r="D48" s="12" t="s">
        <v>310</v>
      </c>
      <c r="E48" s="12" t="s">
        <v>311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451C"/>
    <pageSetUpPr fitToPage="fals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56"/>
  </cols>
  <sheetData>
    <row r="1" customFormat="false" ht="21.75" hidden="false" customHeight="true" outlineLevel="0" collapsed="false">
      <c r="A1" s="1" t="s">
        <v>312</v>
      </c>
    </row>
    <row r="2" customFormat="false" ht="15" hidden="false" customHeight="false" outlineLevel="0" collapsed="false">
      <c r="A2" s="2" t="s">
        <v>313</v>
      </c>
    </row>
    <row r="4" customFormat="false" ht="30" hidden="false" customHeight="true" outlineLevel="0" collapsed="false">
      <c r="A4" s="5" t="s">
        <v>314</v>
      </c>
      <c r="B4" s="5" t="s">
        <v>315</v>
      </c>
      <c r="C4" s="5" t="s">
        <v>77</v>
      </c>
      <c r="D4" s="5" t="s">
        <v>316</v>
      </c>
      <c r="E4" s="5" t="s">
        <v>317</v>
      </c>
    </row>
    <row r="5" customFormat="false" ht="32.8" hidden="false" customHeight="false" outlineLevel="0" collapsed="false">
      <c r="A5" s="7" t="s">
        <v>318</v>
      </c>
      <c r="B5" s="31" t="n">
        <v>625</v>
      </c>
      <c r="C5" s="6" t="s">
        <v>319</v>
      </c>
      <c r="D5" s="15" t="n">
        <f aca="false">B5/20</f>
        <v>31.25</v>
      </c>
      <c r="E5" s="12" t="s">
        <v>320</v>
      </c>
    </row>
    <row r="6" customFormat="false" ht="22.35" hidden="false" customHeight="false" outlineLevel="0" collapsed="false">
      <c r="A6" s="7" t="s">
        <v>321</v>
      </c>
      <c r="B6" s="14" t="n">
        <v>630.1</v>
      </c>
      <c r="C6" s="6" t="s">
        <v>319</v>
      </c>
      <c r="D6" s="15" t="n">
        <f aca="false">B6/20</f>
        <v>31.505</v>
      </c>
      <c r="E6" s="12" t="s">
        <v>322</v>
      </c>
    </row>
    <row r="7" customFormat="false" ht="43.25" hidden="false" customHeight="false" outlineLevel="0" collapsed="false">
      <c r="A7" s="7" t="s">
        <v>323</v>
      </c>
      <c r="B7" s="31" t="n">
        <v>99</v>
      </c>
      <c r="C7" s="6" t="s">
        <v>324</v>
      </c>
      <c r="D7" s="15" t="n">
        <f aca="false">B7+Assumptions!B6</f>
        <v>167</v>
      </c>
      <c r="E7" s="12" t="s">
        <v>325</v>
      </c>
    </row>
    <row r="8" customFormat="false" ht="32.8" hidden="false" customHeight="false" outlineLevel="0" collapsed="false">
      <c r="A8" s="7" t="s">
        <v>326</v>
      </c>
      <c r="B8" s="31" t="n">
        <v>2250</v>
      </c>
      <c r="C8" s="6" t="s">
        <v>327</v>
      </c>
      <c r="D8" s="15" t="n">
        <f aca="false">B8/25</f>
        <v>90</v>
      </c>
      <c r="E8" s="12" t="s">
        <v>328</v>
      </c>
    </row>
    <row r="10" customFormat="false" ht="15" hidden="false" customHeight="false" outlineLevel="0" collapsed="false">
      <c r="A10" s="3" t="s">
        <v>329</v>
      </c>
    </row>
    <row r="11" customFormat="false" ht="30" hidden="false" customHeight="true" outlineLevel="0" collapsed="false">
      <c r="A11" s="5" t="s">
        <v>269</v>
      </c>
      <c r="B11" s="5" t="s">
        <v>76</v>
      </c>
      <c r="C11" s="5" t="s">
        <v>77</v>
      </c>
      <c r="D11" s="5"/>
      <c r="E11" s="5" t="s">
        <v>78</v>
      </c>
    </row>
    <row r="12" customFormat="false" ht="15" hidden="false" customHeight="false" outlineLevel="0" collapsed="false">
      <c r="A12" s="7" t="s">
        <v>330</v>
      </c>
      <c r="B12" s="15" t="n">
        <f aca="false">D5+D6</f>
        <v>62.755</v>
      </c>
      <c r="C12" s="6" t="s">
        <v>331</v>
      </c>
      <c r="D12" s="6"/>
      <c r="E12" s="12" t="s">
        <v>332</v>
      </c>
    </row>
    <row r="13" customFormat="false" ht="15" hidden="false" customHeight="false" outlineLevel="0" collapsed="false">
      <c r="A13" s="6" t="s">
        <v>333</v>
      </c>
      <c r="B13" s="17" t="n">
        <v>0.045</v>
      </c>
      <c r="C13" s="6" t="s">
        <v>83</v>
      </c>
      <c r="D13" s="6"/>
      <c r="E13" s="12" t="s">
        <v>334</v>
      </c>
    </row>
    <row r="14" customFormat="false" ht="15" hidden="false" customHeight="false" outlineLevel="0" collapsed="false">
      <c r="A14" s="6" t="s">
        <v>335</v>
      </c>
      <c r="B14" s="14" t="n">
        <v>4.5</v>
      </c>
      <c r="C14" s="6" t="s">
        <v>336</v>
      </c>
      <c r="D14" s="6"/>
      <c r="E14" s="12" t="s">
        <v>337</v>
      </c>
    </row>
    <row r="15" customFormat="false" ht="15" hidden="false" customHeight="false" outlineLevel="0" collapsed="false">
      <c r="A15" s="19" t="s">
        <v>338</v>
      </c>
      <c r="B15" s="25" t="n">
        <f aca="false">B12*(1+B13)^B14</f>
        <v>76.5017977447615</v>
      </c>
      <c r="C15" s="33" t="s">
        <v>331</v>
      </c>
      <c r="D15" s="33"/>
      <c r="E15" s="24" t="s">
        <v>273</v>
      </c>
    </row>
    <row r="17" customFormat="false" ht="15" hidden="false" customHeight="false" outlineLevel="0" collapsed="false">
      <c r="A17" s="3" t="s">
        <v>339</v>
      </c>
    </row>
    <row r="18" customFormat="false" ht="30" hidden="false" customHeight="true" outlineLevel="0" collapsed="false">
      <c r="A18" s="5" t="s">
        <v>340</v>
      </c>
      <c r="B18" s="5" t="s">
        <v>76</v>
      </c>
      <c r="C18" s="5" t="s">
        <v>77</v>
      </c>
      <c r="D18" s="5"/>
      <c r="E18" s="5" t="s">
        <v>341</v>
      </c>
    </row>
    <row r="19" customFormat="false" ht="15" hidden="false" customHeight="false" outlineLevel="0" collapsed="false">
      <c r="A19" s="7" t="s">
        <v>342</v>
      </c>
      <c r="B19" s="31" t="n">
        <v>59</v>
      </c>
      <c r="C19" s="6" t="s">
        <v>80</v>
      </c>
      <c r="D19" s="6"/>
      <c r="E19" s="12" t="s">
        <v>343</v>
      </c>
    </row>
    <row r="20" customFormat="false" ht="15" hidden="false" customHeight="false" outlineLevel="0" collapsed="false">
      <c r="A20" s="6" t="s">
        <v>344</v>
      </c>
      <c r="B20" s="15" t="n">
        <f aca="false">B19*(1+B13)^3</f>
        <v>67.328801375</v>
      </c>
      <c r="C20" s="6" t="s">
        <v>80</v>
      </c>
      <c r="D20" s="6"/>
      <c r="E20" s="12" t="s">
        <v>273</v>
      </c>
    </row>
    <row r="21" customFormat="false" ht="15" hidden="false" customHeight="false" outlineLevel="0" collapsed="false">
      <c r="A21" s="7" t="s">
        <v>345</v>
      </c>
      <c r="B21" s="14" t="n">
        <v>36.5</v>
      </c>
      <c r="C21" s="6" t="s">
        <v>80</v>
      </c>
      <c r="D21" s="6"/>
      <c r="E21" s="12" t="s">
        <v>346</v>
      </c>
    </row>
    <row r="22" customFormat="false" ht="15" hidden="false" customHeight="false" outlineLevel="0" collapsed="false">
      <c r="A22" s="6" t="s">
        <v>347</v>
      </c>
      <c r="B22" s="14" t="n">
        <v>54.3</v>
      </c>
      <c r="C22" s="6" t="s">
        <v>80</v>
      </c>
      <c r="D22" s="6"/>
      <c r="E22" s="12" t="s">
        <v>346</v>
      </c>
    </row>
    <row r="23" customFormat="false" ht="15" hidden="false" customHeight="false" outlineLevel="0" collapsed="false">
      <c r="A23" s="6" t="s">
        <v>348</v>
      </c>
      <c r="B23" s="17" t="n">
        <v>0.65</v>
      </c>
      <c r="C23" s="6" t="s">
        <v>93</v>
      </c>
      <c r="D23" s="6"/>
      <c r="E23" s="12" t="s">
        <v>349</v>
      </c>
    </row>
    <row r="24" customFormat="false" ht="15" hidden="false" customHeight="false" outlineLevel="0" collapsed="false">
      <c r="A24" s="6" t="s">
        <v>350</v>
      </c>
      <c r="B24" s="15" t="n">
        <f aca="false">(B21+B22*B23)*0.95</f>
        <v>68.20525</v>
      </c>
      <c r="C24" s="6" t="s">
        <v>80</v>
      </c>
      <c r="D24" s="6"/>
      <c r="E24" s="12" t="s">
        <v>273</v>
      </c>
    </row>
    <row r="25" customFormat="false" ht="15" hidden="false" customHeight="false" outlineLevel="0" collapsed="false">
      <c r="A25" s="7" t="s">
        <v>351</v>
      </c>
      <c r="B25" s="31" t="n">
        <v>30</v>
      </c>
      <c r="C25" s="6" t="s">
        <v>80</v>
      </c>
      <c r="D25" s="6"/>
      <c r="E25" s="12" t="s">
        <v>352</v>
      </c>
    </row>
    <row r="26" customFormat="false" ht="15" hidden="false" customHeight="false" outlineLevel="0" collapsed="false">
      <c r="A26" s="7" t="s">
        <v>353</v>
      </c>
      <c r="B26" s="15" t="n">
        <f aca="false">D8/2.68</f>
        <v>33.5820895522388</v>
      </c>
      <c r="C26" s="6" t="s">
        <v>80</v>
      </c>
      <c r="D26" s="6"/>
      <c r="E26" s="12" t="s">
        <v>354</v>
      </c>
    </row>
    <row r="27" customFormat="false" ht="15" hidden="false" customHeight="false" outlineLevel="0" collapsed="false">
      <c r="A27" s="6" t="s">
        <v>355</v>
      </c>
      <c r="B27" s="15" t="n">
        <f aca="false">B25+B26</f>
        <v>63.5820895522388</v>
      </c>
      <c r="C27" s="6" t="s">
        <v>80</v>
      </c>
      <c r="D27" s="6"/>
      <c r="E27" s="12" t="s">
        <v>273</v>
      </c>
    </row>
    <row r="28" customFormat="false" ht="15" hidden="false" customHeight="false" outlineLevel="0" collapsed="false">
      <c r="A28" s="7" t="s">
        <v>356</v>
      </c>
      <c r="B28" s="15" t="n">
        <f aca="false">AVERAGE(B20,B24)</f>
        <v>67.7670256875</v>
      </c>
      <c r="C28" s="6" t="s">
        <v>80</v>
      </c>
      <c r="D28" s="6"/>
      <c r="E28" s="12" t="s">
        <v>357</v>
      </c>
    </row>
    <row r="29" customFormat="false" ht="22.35" hidden="false" customHeight="false" outlineLevel="0" collapsed="false">
      <c r="A29" s="6" t="s">
        <v>358</v>
      </c>
      <c r="B29" s="15" t="n">
        <f aca="false">AVERAGE(B20,B24,B27)</f>
        <v>66.3720469757463</v>
      </c>
      <c r="C29" s="6" t="s">
        <v>80</v>
      </c>
      <c r="D29" s="6"/>
      <c r="E29" s="12" t="s">
        <v>359</v>
      </c>
    </row>
    <row r="30" customFormat="false" ht="15" hidden="false" customHeight="false" outlineLevel="0" collapsed="false">
      <c r="A30" s="6" t="s">
        <v>360</v>
      </c>
      <c r="B30" s="15" t="n">
        <f aca="false">MIN(B20,B24,B27)</f>
        <v>63.5820895522388</v>
      </c>
      <c r="C30" s="6" t="s">
        <v>80</v>
      </c>
      <c r="D30" s="15" t="n">
        <f aca="false">MAX(B20,B24,B27)</f>
        <v>68.20525</v>
      </c>
      <c r="E30" s="12" t="s">
        <v>361</v>
      </c>
    </row>
    <row r="31" customFormat="false" ht="32.8" hidden="false" customHeight="false" outlineLevel="0" collapsed="false">
      <c r="A31" s="19" t="s">
        <v>362</v>
      </c>
      <c r="B31" s="35" t="n">
        <f aca="false">Assumptions!B6</f>
        <v>68</v>
      </c>
      <c r="C31" s="33" t="s">
        <v>80</v>
      </c>
      <c r="D31" s="33"/>
      <c r="E31" s="24" t="s">
        <v>363</v>
      </c>
    </row>
    <row r="32" customFormat="false" ht="15" hidden="false" customHeight="false" outlineLevel="0" collapsed="false">
      <c r="A32" s="6" t="s">
        <v>364</v>
      </c>
      <c r="B32" s="16" t="n">
        <f aca="false">Assumptions!B6/B29-1</f>
        <v>0.0245276904725966</v>
      </c>
      <c r="C32" s="6" t="s">
        <v>93</v>
      </c>
      <c r="D32" s="6"/>
      <c r="E32" s="12" t="s">
        <v>365</v>
      </c>
    </row>
    <row r="33" customFormat="false" ht="15" hidden="false" customHeight="false" outlineLevel="0" collapsed="false">
      <c r="A33" s="7" t="s">
        <v>366</v>
      </c>
      <c r="B33" s="15" t="n">
        <f aca="false">B15-Assumptions!B6</f>
        <v>8.50179774476149</v>
      </c>
      <c r="C33" s="6" t="s">
        <v>331</v>
      </c>
      <c r="D33" s="6"/>
      <c r="E33" s="12" t="s">
        <v>367</v>
      </c>
    </row>
    <row r="34" customFormat="false" ht="15" hidden="false" customHeight="false" outlineLevel="0" collapsed="false">
      <c r="A34" s="6" t="s">
        <v>368</v>
      </c>
      <c r="B34" s="16" t="n">
        <f aca="false">B33/Assumptions!B6</f>
        <v>0.125026437422963</v>
      </c>
      <c r="C34" s="6" t="s">
        <v>93</v>
      </c>
      <c r="D34" s="6"/>
      <c r="E34" s="12" t="s">
        <v>273</v>
      </c>
    </row>
    <row r="36" customFormat="false" ht="74.6" hidden="false" customHeight="false" outlineLevel="0" collapsed="false">
      <c r="A36" s="4" t="s">
        <v>369</v>
      </c>
    </row>
    <row r="38" customFormat="false" ht="15" hidden="false" customHeight="false" outlineLevel="0" collapsed="false">
      <c r="A38" s="3" t="s">
        <v>370</v>
      </c>
    </row>
    <row r="39" customFormat="false" ht="30" hidden="false" customHeight="true" outlineLevel="0" collapsed="false">
      <c r="A39" s="5" t="s">
        <v>371</v>
      </c>
      <c r="B39" s="5" t="s">
        <v>76</v>
      </c>
      <c r="C39" s="5" t="s">
        <v>77</v>
      </c>
      <c r="D39" s="5" t="s">
        <v>198</v>
      </c>
      <c r="E39" s="5" t="s">
        <v>164</v>
      </c>
    </row>
    <row r="40" customFormat="false" ht="15" hidden="false" customHeight="false" outlineLevel="0" collapsed="false">
      <c r="A40" s="7" t="s">
        <v>372</v>
      </c>
      <c r="B40" s="14" t="n">
        <v>515.4</v>
      </c>
      <c r="C40" s="6" t="s">
        <v>80</v>
      </c>
      <c r="D40" s="12" t="s">
        <v>373</v>
      </c>
      <c r="E40" s="12" t="s">
        <v>374</v>
      </c>
    </row>
    <row r="41" customFormat="false" ht="15" hidden="false" customHeight="false" outlineLevel="0" collapsed="false">
      <c r="A41" s="7" t="s">
        <v>375</v>
      </c>
      <c r="B41" s="14" t="n">
        <v>37.2</v>
      </c>
      <c r="C41" s="6" t="s">
        <v>80</v>
      </c>
      <c r="D41" s="12" t="s">
        <v>106</v>
      </c>
      <c r="E41" s="12" t="s">
        <v>218</v>
      </c>
    </row>
    <row r="42" customFormat="false" ht="15" hidden="false" customHeight="false" outlineLevel="0" collapsed="false">
      <c r="A42" s="7" t="s">
        <v>376</v>
      </c>
      <c r="B42" s="14" t="n">
        <v>57.3</v>
      </c>
      <c r="C42" s="6" t="s">
        <v>80</v>
      </c>
      <c r="D42" s="12" t="s">
        <v>115</v>
      </c>
      <c r="E42" s="12" t="s">
        <v>218</v>
      </c>
    </row>
    <row r="43" customFormat="false" ht="15" hidden="false" customHeight="false" outlineLevel="0" collapsed="false">
      <c r="A43" s="7" t="s">
        <v>377</v>
      </c>
      <c r="B43" s="14" t="n">
        <v>310.4</v>
      </c>
      <c r="C43" s="6" t="s">
        <v>80</v>
      </c>
      <c r="D43" s="12" t="s">
        <v>373</v>
      </c>
      <c r="E43" s="12" t="s">
        <v>378</v>
      </c>
    </row>
    <row r="44" customFormat="false" ht="15" hidden="false" customHeight="false" outlineLevel="0" collapsed="false">
      <c r="A44" s="7" t="s">
        <v>379</v>
      </c>
      <c r="B44" s="14" t="n">
        <v>406.4</v>
      </c>
      <c r="C44" s="6" t="s">
        <v>80</v>
      </c>
      <c r="D44" s="12" t="s">
        <v>373</v>
      </c>
      <c r="E44" s="12" t="s">
        <v>380</v>
      </c>
    </row>
    <row r="45" customFormat="false" ht="15" hidden="false" customHeight="false" outlineLevel="0" collapsed="false">
      <c r="A45" s="7" t="s">
        <v>381</v>
      </c>
      <c r="B45" s="14" t="n">
        <v>99.3</v>
      </c>
      <c r="C45" s="6" t="s">
        <v>80</v>
      </c>
      <c r="D45" s="12" t="s">
        <v>382</v>
      </c>
      <c r="E45" s="12" t="s">
        <v>383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451C"/>
    <pageSetUpPr fitToPage="fals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5" min="2" style="0" width="14"/>
    <col collapsed="false" customWidth="true" hidden="false" outlineLevel="0" max="6" min="6" style="0" width="44"/>
  </cols>
  <sheetData>
    <row r="1" customFormat="false" ht="21.75" hidden="false" customHeight="true" outlineLevel="0" collapsed="false">
      <c r="A1" s="1" t="s">
        <v>384</v>
      </c>
    </row>
    <row r="2" customFormat="false" ht="15" hidden="false" customHeight="false" outlineLevel="0" collapsed="false">
      <c r="A2" s="2" t="s">
        <v>385</v>
      </c>
    </row>
    <row r="4" customFormat="false" ht="15" hidden="false" customHeight="false" outlineLevel="0" collapsed="false">
      <c r="A4" s="3" t="s">
        <v>386</v>
      </c>
    </row>
    <row r="5" customFormat="false" ht="30" hidden="false" customHeight="true" outlineLevel="0" collapsed="false">
      <c r="A5" s="5" t="s">
        <v>138</v>
      </c>
      <c r="B5" s="5" t="s">
        <v>76</v>
      </c>
      <c r="C5" s="5" t="s">
        <v>77</v>
      </c>
      <c r="D5" s="5"/>
      <c r="E5" s="5"/>
      <c r="F5" s="5" t="s">
        <v>139</v>
      </c>
    </row>
    <row r="6" customFormat="false" ht="15" hidden="false" customHeight="false" outlineLevel="0" collapsed="false">
      <c r="A6" s="7" t="s">
        <v>387</v>
      </c>
      <c r="B6" s="31" t="n">
        <v>802</v>
      </c>
      <c r="C6" s="6" t="s">
        <v>388</v>
      </c>
      <c r="D6" s="6"/>
      <c r="E6" s="6"/>
      <c r="F6" s="12" t="s">
        <v>389</v>
      </c>
    </row>
    <row r="7" customFormat="false" ht="15" hidden="false" customHeight="false" outlineLevel="0" collapsed="false">
      <c r="A7" s="7" t="s">
        <v>390</v>
      </c>
      <c r="B7" s="17" t="n">
        <v>0.3</v>
      </c>
      <c r="C7" s="6" t="s">
        <v>93</v>
      </c>
      <c r="D7" s="6"/>
      <c r="E7" s="6"/>
      <c r="F7" s="12" t="s">
        <v>391</v>
      </c>
    </row>
    <row r="8" customFormat="false" ht="15" hidden="false" customHeight="false" outlineLevel="0" collapsed="false">
      <c r="A8" s="7" t="s">
        <v>392</v>
      </c>
      <c r="B8" s="31" t="n">
        <v>400000</v>
      </c>
      <c r="C8" s="6" t="s">
        <v>393</v>
      </c>
      <c r="D8" s="6"/>
      <c r="E8" s="6"/>
      <c r="F8" s="12" t="s">
        <v>394</v>
      </c>
    </row>
    <row r="9" customFormat="false" ht="15" hidden="false" customHeight="false" outlineLevel="0" collapsed="false">
      <c r="A9" s="7" t="s">
        <v>395</v>
      </c>
      <c r="B9" s="36" t="n">
        <v>2023</v>
      </c>
      <c r="C9" s="6" t="s">
        <v>396</v>
      </c>
      <c r="D9" s="6"/>
      <c r="E9" s="6"/>
      <c r="F9" s="12" t="s">
        <v>397</v>
      </c>
    </row>
    <row r="10" customFormat="false" ht="53.7" hidden="false" customHeight="false" outlineLevel="0" collapsed="false">
      <c r="A10" s="4" t="s">
        <v>398</v>
      </c>
    </row>
    <row r="13" customFormat="false" ht="15" hidden="false" customHeight="false" outlineLevel="0" collapsed="false">
      <c r="A13" s="3" t="s">
        <v>399</v>
      </c>
    </row>
    <row r="14" customFormat="false" ht="30" hidden="false" customHeight="true" outlineLevel="0" collapsed="false">
      <c r="A14" s="5" t="s">
        <v>400</v>
      </c>
      <c r="B14" s="5" t="s">
        <v>401</v>
      </c>
      <c r="C14" s="5" t="s">
        <v>402</v>
      </c>
      <c r="D14" s="5" t="s">
        <v>403</v>
      </c>
      <c r="E14" s="5" t="s">
        <v>404</v>
      </c>
      <c r="F14" s="5" t="s">
        <v>405</v>
      </c>
    </row>
    <row r="15" customFormat="false" ht="32.8" hidden="false" customHeight="false" outlineLevel="0" collapsed="false">
      <c r="A15" s="7" t="s">
        <v>406</v>
      </c>
      <c r="B15" s="14" t="n">
        <v>28.6</v>
      </c>
      <c r="C15" s="31" t="n">
        <v>90657</v>
      </c>
      <c r="D15" s="26" t="n">
        <f aca="false">C15/$C$20</f>
        <v>0.245420214133922</v>
      </c>
      <c r="E15" s="17" t="n">
        <v>0.86</v>
      </c>
      <c r="F15" s="12" t="s">
        <v>407</v>
      </c>
    </row>
    <row r="16" customFormat="false" ht="22.35" hidden="false" customHeight="false" outlineLevel="0" collapsed="false">
      <c r="A16" s="7" t="s">
        <v>408</v>
      </c>
      <c r="B16" s="14" t="n">
        <v>10.3</v>
      </c>
      <c r="C16" s="31" t="n">
        <v>42365</v>
      </c>
      <c r="D16" s="26" t="n">
        <f aca="false">C16/$C$20</f>
        <v>0.114687529609226</v>
      </c>
      <c r="E16" s="17" t="n">
        <v>0.41</v>
      </c>
      <c r="F16" s="12" t="s">
        <v>409</v>
      </c>
    </row>
    <row r="17" customFormat="false" ht="15" hidden="false" customHeight="false" outlineLevel="0" collapsed="false">
      <c r="A17" s="7" t="s">
        <v>410</v>
      </c>
      <c r="B17" s="14" t="n">
        <v>9.2</v>
      </c>
      <c r="C17" s="31" t="n">
        <v>11358</v>
      </c>
      <c r="D17" s="26" t="n">
        <f aca="false">C17/$C$20</f>
        <v>0.0307475737354323</v>
      </c>
      <c r="E17" s="17"/>
      <c r="F17" s="12" t="s">
        <v>411</v>
      </c>
    </row>
    <row r="18" customFormat="false" ht="22.35" hidden="false" customHeight="false" outlineLevel="0" collapsed="false">
      <c r="A18" s="7" t="s">
        <v>412</v>
      </c>
      <c r="B18" s="14" t="n">
        <v>5.1</v>
      </c>
      <c r="C18" s="31" t="n">
        <v>108670</v>
      </c>
      <c r="D18" s="26" t="n">
        <f aca="false">C18/$C$20</f>
        <v>0.294183732860488</v>
      </c>
      <c r="E18" s="17"/>
      <c r="F18" s="12" t="s">
        <v>413</v>
      </c>
    </row>
    <row r="19" customFormat="false" ht="22.35" hidden="false" customHeight="false" outlineLevel="0" collapsed="false">
      <c r="A19" s="7" t="s">
        <v>414</v>
      </c>
      <c r="B19" s="14" t="n">
        <v>2.9</v>
      </c>
      <c r="C19" s="31" t="n">
        <v>116345</v>
      </c>
      <c r="D19" s="26" t="n">
        <f aca="false">C19/$C$20</f>
        <v>0.314960949660932</v>
      </c>
      <c r="E19" s="17"/>
      <c r="F19" s="12" t="s">
        <v>415</v>
      </c>
    </row>
    <row r="20" customFormat="false" ht="15" hidden="false" customHeight="false" outlineLevel="0" collapsed="false">
      <c r="A20" s="19" t="s">
        <v>416</v>
      </c>
      <c r="B20" s="33"/>
      <c r="C20" s="37" t="n">
        <f aca="false">SUM(C15:C19)</f>
        <v>369395</v>
      </c>
      <c r="D20" s="30" t="n">
        <f aca="false">SUM(D15:D19)</f>
        <v>1</v>
      </c>
      <c r="E20" s="33"/>
      <c r="F20" s="24" t="s">
        <v>273</v>
      </c>
    </row>
    <row r="21" customFormat="false" ht="15" hidden="false" customHeight="false" outlineLevel="0" collapsed="false">
      <c r="A21" s="7" t="s">
        <v>417</v>
      </c>
      <c r="B21" s="14" t="n">
        <v>11.1</v>
      </c>
      <c r="C21" s="6"/>
      <c r="D21" s="6"/>
      <c r="E21" s="6"/>
      <c r="F21" s="12" t="s">
        <v>418</v>
      </c>
    </row>
    <row r="22" customFormat="false" ht="15" hidden="false" customHeight="false" outlineLevel="0" collapsed="false">
      <c r="A22" s="6" t="s">
        <v>419</v>
      </c>
      <c r="B22" s="14" t="n">
        <v>14</v>
      </c>
      <c r="C22" s="6"/>
      <c r="D22" s="6"/>
      <c r="E22" s="6"/>
      <c r="F22" s="12" t="s">
        <v>420</v>
      </c>
    </row>
    <row r="23" customFormat="false" ht="22.35" hidden="false" customHeight="false" outlineLevel="0" collapsed="false">
      <c r="A23" s="19" t="s">
        <v>421</v>
      </c>
      <c r="B23" s="30" t="n">
        <f aca="false">B21/B22-1</f>
        <v>-0.207142857142857</v>
      </c>
      <c r="C23" s="33"/>
      <c r="D23" s="33"/>
      <c r="E23" s="33"/>
      <c r="F23" s="24" t="s">
        <v>422</v>
      </c>
    </row>
    <row r="24" customFormat="false" ht="15" hidden="false" customHeight="false" outlineLevel="0" collapsed="false">
      <c r="A24" s="19" t="s">
        <v>423</v>
      </c>
      <c r="B24" s="38" t="n">
        <f aca="false">B15/B19</f>
        <v>9.86206896551724</v>
      </c>
      <c r="C24" s="33"/>
      <c r="D24" s="33"/>
      <c r="E24" s="33"/>
      <c r="F24" s="24" t="s">
        <v>424</v>
      </c>
    </row>
    <row r="26" customFormat="false" ht="15" hidden="false" customHeight="false" outlineLevel="0" collapsed="false">
      <c r="A26" s="3" t="s">
        <v>425</v>
      </c>
    </row>
    <row r="27" customFormat="false" ht="30" hidden="false" customHeight="true" outlineLevel="0" collapsed="false">
      <c r="A27" s="5" t="s">
        <v>138</v>
      </c>
      <c r="B27" s="5" t="s">
        <v>76</v>
      </c>
      <c r="C27" s="5" t="s">
        <v>77</v>
      </c>
      <c r="D27" s="5"/>
      <c r="E27" s="5"/>
      <c r="F27" s="5" t="s">
        <v>164</v>
      </c>
    </row>
    <row r="28" customFormat="false" ht="23.85" hidden="false" customHeight="false" outlineLevel="0" collapsed="false">
      <c r="A28" s="7" t="s">
        <v>426</v>
      </c>
      <c r="B28" s="31" t="n">
        <v>2200000</v>
      </c>
      <c r="C28" s="6" t="s">
        <v>393</v>
      </c>
      <c r="D28" s="6"/>
      <c r="E28" s="6"/>
      <c r="F28" s="12" t="s">
        <v>427</v>
      </c>
    </row>
    <row r="29" customFormat="false" ht="15" hidden="false" customHeight="false" outlineLevel="0" collapsed="false">
      <c r="A29" s="7" t="s">
        <v>428</v>
      </c>
      <c r="B29" s="31" t="n">
        <v>50000</v>
      </c>
      <c r="C29" s="6" t="s">
        <v>388</v>
      </c>
      <c r="D29" s="6"/>
      <c r="E29" s="6"/>
      <c r="F29" s="12" t="s">
        <v>429</v>
      </c>
    </row>
    <row r="30" customFormat="false" ht="15" hidden="false" customHeight="false" outlineLevel="0" collapsed="false">
      <c r="A30" s="7" t="s">
        <v>430</v>
      </c>
      <c r="B30" s="31" t="n">
        <v>800000</v>
      </c>
      <c r="C30" s="6" t="s">
        <v>393</v>
      </c>
      <c r="D30" s="6"/>
      <c r="E30" s="6"/>
      <c r="F30" s="12" t="s">
        <v>431</v>
      </c>
    </row>
    <row r="31" customFormat="false" ht="15" hidden="false" customHeight="false" outlineLevel="0" collapsed="false">
      <c r="A31" s="7" t="s">
        <v>432</v>
      </c>
      <c r="B31" s="31" t="n">
        <v>17544</v>
      </c>
      <c r="C31" s="6" t="s">
        <v>388</v>
      </c>
      <c r="D31" s="6"/>
      <c r="E31" s="6"/>
      <c r="F31" s="12" t="s">
        <v>433</v>
      </c>
    </row>
    <row r="32" customFormat="false" ht="15" hidden="false" customHeight="false" outlineLevel="0" collapsed="false">
      <c r="A32" s="7" t="s">
        <v>434</v>
      </c>
      <c r="B32" s="17" t="n">
        <v>0.81</v>
      </c>
      <c r="C32" s="6" t="s">
        <v>93</v>
      </c>
      <c r="D32" s="6"/>
      <c r="E32" s="6"/>
      <c r="F32" s="12" t="s">
        <v>435</v>
      </c>
    </row>
    <row r="33" customFormat="false" ht="15" hidden="false" customHeight="false" outlineLevel="0" collapsed="false">
      <c r="A33" s="7" t="s">
        <v>436</v>
      </c>
      <c r="B33" s="17" t="n">
        <v>0.15</v>
      </c>
      <c r="C33" s="6" t="s">
        <v>93</v>
      </c>
      <c r="D33" s="6"/>
      <c r="E33" s="6"/>
      <c r="F33" s="12" t="s">
        <v>435</v>
      </c>
    </row>
    <row r="34" customFormat="false" ht="15" hidden="false" customHeight="false" outlineLevel="0" collapsed="false">
      <c r="A34" s="7" t="s">
        <v>437</v>
      </c>
      <c r="B34" s="17" t="n">
        <v>0.33</v>
      </c>
      <c r="C34" s="6" t="s">
        <v>93</v>
      </c>
      <c r="D34" s="6"/>
      <c r="E34" s="6"/>
      <c r="F34" s="12" t="s">
        <v>438</v>
      </c>
    </row>
    <row r="35" customFormat="false" ht="15" hidden="false" customHeight="false" outlineLevel="0" collapsed="false">
      <c r="A35" s="7" t="s">
        <v>439</v>
      </c>
      <c r="B35" s="17" t="n">
        <v>0.194</v>
      </c>
      <c r="C35" s="6" t="s">
        <v>93</v>
      </c>
      <c r="D35" s="6"/>
      <c r="E35" s="6"/>
      <c r="F35" s="12" t="s">
        <v>440</v>
      </c>
    </row>
    <row r="36" customFormat="false" ht="15" hidden="false" customHeight="false" outlineLevel="0" collapsed="false">
      <c r="A36" s="7" t="s">
        <v>441</v>
      </c>
      <c r="B36" s="31" t="n">
        <v>53</v>
      </c>
      <c r="C36" s="6" t="s">
        <v>442</v>
      </c>
      <c r="D36" s="6"/>
      <c r="E36" s="6"/>
      <c r="F36" s="12" t="s">
        <v>443</v>
      </c>
    </row>
    <row r="37" customFormat="false" ht="15" hidden="false" customHeight="false" outlineLevel="0" collapsed="false">
      <c r="A37" s="7" t="s">
        <v>444</v>
      </c>
      <c r="B37" s="31" t="n">
        <v>452</v>
      </c>
      <c r="C37" s="6" t="s">
        <v>80</v>
      </c>
      <c r="D37" s="6"/>
      <c r="E37" s="6"/>
      <c r="F37" s="12" t="s">
        <v>445</v>
      </c>
    </row>
    <row r="38" customFormat="false" ht="15" hidden="false" customHeight="false" outlineLevel="0" collapsed="false">
      <c r="A38" s="7" t="s">
        <v>446</v>
      </c>
      <c r="B38" s="31" t="n">
        <v>260000</v>
      </c>
      <c r="C38" s="6" t="s">
        <v>388</v>
      </c>
      <c r="D38" s="6"/>
      <c r="E38" s="6"/>
      <c r="F38" s="12" t="s">
        <v>447</v>
      </c>
    </row>
    <row r="39" customFormat="false" ht="15" hidden="false" customHeight="false" outlineLevel="0" collapsed="false">
      <c r="A39" s="7" t="s">
        <v>448</v>
      </c>
      <c r="B39" s="14" t="n">
        <v>2.6</v>
      </c>
      <c r="C39" s="6" t="s">
        <v>80</v>
      </c>
      <c r="D39" s="6"/>
      <c r="E39" s="6"/>
      <c r="F39" s="12" t="s">
        <v>443</v>
      </c>
    </row>
    <row r="40" customFormat="false" ht="15" hidden="false" customHeight="false" outlineLevel="0" collapsed="false">
      <c r="A40" s="7" t="s">
        <v>449</v>
      </c>
      <c r="B40" s="31" t="n">
        <v>860</v>
      </c>
      <c r="C40" s="6" t="s">
        <v>388</v>
      </c>
      <c r="D40" s="6"/>
      <c r="E40" s="6"/>
      <c r="F40" s="12" t="s">
        <v>450</v>
      </c>
    </row>
    <row r="41" customFormat="false" ht="15" hidden="false" customHeight="false" outlineLevel="0" collapsed="false">
      <c r="A41" s="7" t="s">
        <v>451</v>
      </c>
      <c r="B41" s="31" t="n">
        <v>850</v>
      </c>
      <c r="C41" s="6" t="s">
        <v>452</v>
      </c>
      <c r="D41" s="6"/>
      <c r="E41" s="6"/>
      <c r="F41" s="12" t="s">
        <v>450</v>
      </c>
    </row>
    <row r="42" customFormat="false" ht="22.35" hidden="false" customHeight="false" outlineLevel="0" collapsed="false">
      <c r="A42" s="7" t="s">
        <v>453</v>
      </c>
      <c r="B42" s="39" t="n">
        <f aca="false">B39*1000000000/B38</f>
        <v>10000</v>
      </c>
      <c r="C42" s="6" t="s">
        <v>454</v>
      </c>
      <c r="D42" s="6"/>
      <c r="E42" s="6"/>
      <c r="F42" s="12" t="s">
        <v>455</v>
      </c>
    </row>
    <row r="44" customFormat="false" ht="15" hidden="false" customHeight="false" outlineLevel="0" collapsed="false">
      <c r="A44" s="3" t="s">
        <v>456</v>
      </c>
    </row>
    <row r="45" customFormat="false" ht="30" hidden="false" customHeight="true" outlineLevel="0" collapsed="false">
      <c r="A45" s="5" t="s">
        <v>138</v>
      </c>
      <c r="B45" s="5" t="s">
        <v>76</v>
      </c>
      <c r="C45" s="5" t="s">
        <v>77</v>
      </c>
      <c r="D45" s="5" t="s">
        <v>198</v>
      </c>
      <c r="E45" s="5"/>
      <c r="F45" s="5" t="s">
        <v>164</v>
      </c>
    </row>
    <row r="46" customFormat="false" ht="15" hidden="false" customHeight="false" outlineLevel="0" collapsed="false">
      <c r="A46" s="7" t="s">
        <v>457</v>
      </c>
      <c r="B46" s="31" t="n">
        <v>140</v>
      </c>
      <c r="C46" s="6" t="s">
        <v>458</v>
      </c>
      <c r="D46" s="12" t="s">
        <v>459</v>
      </c>
      <c r="E46" s="6"/>
      <c r="F46" s="12" t="s">
        <v>460</v>
      </c>
    </row>
    <row r="47" customFormat="false" ht="15" hidden="false" customHeight="false" outlineLevel="0" collapsed="false">
      <c r="A47" s="7" t="s">
        <v>461</v>
      </c>
      <c r="B47" s="31" t="n">
        <v>127</v>
      </c>
      <c r="C47" s="6" t="s">
        <v>458</v>
      </c>
      <c r="D47" s="12" t="s">
        <v>462</v>
      </c>
      <c r="E47" s="6"/>
      <c r="F47" s="12" t="s">
        <v>460</v>
      </c>
    </row>
    <row r="48" customFormat="false" ht="15" hidden="false" customHeight="false" outlineLevel="0" collapsed="false">
      <c r="A48" s="7" t="s">
        <v>463</v>
      </c>
      <c r="B48" s="31" t="n">
        <v>88</v>
      </c>
      <c r="C48" s="6" t="s">
        <v>464</v>
      </c>
      <c r="D48" s="12" t="s">
        <v>465</v>
      </c>
      <c r="E48" s="6"/>
      <c r="F48" s="12" t="s">
        <v>460</v>
      </c>
    </row>
    <row r="49" customFormat="false" ht="15" hidden="false" customHeight="false" outlineLevel="0" collapsed="false">
      <c r="A49" s="7" t="s">
        <v>466</v>
      </c>
      <c r="B49" s="31" t="n">
        <v>82</v>
      </c>
      <c r="C49" s="6" t="s">
        <v>464</v>
      </c>
      <c r="D49" s="12" t="s">
        <v>467</v>
      </c>
      <c r="E49" s="6"/>
      <c r="F49" s="12" t="s">
        <v>460</v>
      </c>
    </row>
    <row r="50" customFormat="false" ht="15" hidden="false" customHeight="false" outlineLevel="0" collapsed="false">
      <c r="A50" s="7" t="s">
        <v>468</v>
      </c>
      <c r="B50" s="31" t="n">
        <v>322</v>
      </c>
      <c r="C50" s="6" t="s">
        <v>469</v>
      </c>
      <c r="D50" s="12" t="s">
        <v>467</v>
      </c>
      <c r="E50" s="6"/>
      <c r="F50" s="12" t="s">
        <v>470</v>
      </c>
    </row>
    <row r="51" customFormat="false" ht="64.15" hidden="false" customHeight="false" outlineLevel="0" collapsed="false">
      <c r="A51" s="4" t="s">
        <v>471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451C"/>
    <pageSetUpPr fitToPage="fals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2"/>
    <col collapsed="false" customWidth="true" hidden="false" outlineLevel="0" max="4" min="4" style="0" width="20"/>
    <col collapsed="false" customWidth="true" hidden="false" outlineLevel="0" max="5" min="5" style="0" width="52"/>
  </cols>
  <sheetData>
    <row r="1" customFormat="false" ht="21.75" hidden="false" customHeight="true" outlineLevel="0" collapsed="false">
      <c r="A1" s="1" t="s">
        <v>472</v>
      </c>
    </row>
    <row r="2" customFormat="false" ht="15" hidden="false" customHeight="false" outlineLevel="0" collapsed="false">
      <c r="A2" s="2" t="s">
        <v>473</v>
      </c>
    </row>
    <row r="4" customFormat="false" ht="15" hidden="false" customHeight="false" outlineLevel="0" collapsed="false">
      <c r="A4" s="3" t="s">
        <v>474</v>
      </c>
    </row>
    <row r="5" customFormat="false" ht="30" hidden="false" customHeight="true" outlineLevel="0" collapsed="false">
      <c r="A5" s="5" t="s">
        <v>235</v>
      </c>
      <c r="B5" s="5" t="s">
        <v>76</v>
      </c>
      <c r="C5" s="5" t="s">
        <v>77</v>
      </c>
      <c r="D5" s="5" t="s">
        <v>475</v>
      </c>
      <c r="E5" s="5" t="s">
        <v>139</v>
      </c>
    </row>
    <row r="6" customFormat="false" ht="15" hidden="false" customHeight="false" outlineLevel="0" collapsed="false">
      <c r="A6" s="7" t="s">
        <v>476</v>
      </c>
      <c r="B6" s="31" t="n">
        <v>9200000</v>
      </c>
      <c r="C6" s="6" t="s">
        <v>388</v>
      </c>
      <c r="D6" s="12" t="s">
        <v>477</v>
      </c>
      <c r="E6" s="12" t="s">
        <v>478</v>
      </c>
    </row>
    <row r="7" customFormat="false" ht="15" hidden="false" customHeight="false" outlineLevel="0" collapsed="false">
      <c r="A7" s="6" t="s">
        <v>479</v>
      </c>
      <c r="B7" s="40" t="n">
        <v>4700</v>
      </c>
      <c r="C7" s="6" t="s">
        <v>454</v>
      </c>
      <c r="D7" s="12" t="s">
        <v>450</v>
      </c>
      <c r="E7" s="12" t="s">
        <v>480</v>
      </c>
    </row>
    <row r="8" customFormat="false" ht="15" hidden="false" customHeight="false" outlineLevel="0" collapsed="false">
      <c r="A8" s="6" t="s">
        <v>481</v>
      </c>
      <c r="B8" s="40" t="n">
        <v>6930</v>
      </c>
      <c r="C8" s="6" t="s">
        <v>454</v>
      </c>
      <c r="D8" s="12" t="s">
        <v>450</v>
      </c>
      <c r="E8" s="12" t="s">
        <v>482</v>
      </c>
    </row>
    <row r="9" customFormat="false" ht="15" hidden="false" customHeight="false" outlineLevel="0" collapsed="false">
      <c r="A9" s="7" t="s">
        <v>483</v>
      </c>
      <c r="B9" s="15" t="n">
        <f aca="false">B6*B7/1000000000</f>
        <v>43.24</v>
      </c>
      <c r="C9" s="6" t="s">
        <v>80</v>
      </c>
      <c r="D9" s="12" t="s">
        <v>195</v>
      </c>
      <c r="E9" s="12" t="s">
        <v>484</v>
      </c>
    </row>
    <row r="10" customFormat="false" ht="15" hidden="false" customHeight="false" outlineLevel="0" collapsed="false">
      <c r="A10" s="7" t="s">
        <v>485</v>
      </c>
      <c r="B10" s="15" t="n">
        <f aca="false">B6*B8/1000000000</f>
        <v>63.756</v>
      </c>
      <c r="C10" s="6" t="s">
        <v>80</v>
      </c>
      <c r="D10" s="12" t="s">
        <v>195</v>
      </c>
      <c r="E10" s="12"/>
    </row>
    <row r="11" customFormat="false" ht="15" hidden="false" customHeight="false" outlineLevel="0" collapsed="false">
      <c r="A11" s="6" t="s">
        <v>486</v>
      </c>
      <c r="B11" s="14" t="n">
        <v>15</v>
      </c>
      <c r="C11" s="6" t="s">
        <v>80</v>
      </c>
      <c r="D11" s="12" t="s">
        <v>257</v>
      </c>
      <c r="E11" s="12" t="s">
        <v>487</v>
      </c>
    </row>
    <row r="12" customFormat="false" ht="15" hidden="false" customHeight="false" outlineLevel="0" collapsed="false">
      <c r="A12" s="19" t="s">
        <v>488</v>
      </c>
      <c r="B12" s="25" t="n">
        <f aca="false">AVERAGE(B9:B10)-B11</f>
        <v>38.498</v>
      </c>
      <c r="C12" s="33" t="s">
        <v>80</v>
      </c>
      <c r="D12" s="24" t="s">
        <v>195</v>
      </c>
      <c r="E12" s="24" t="s">
        <v>489</v>
      </c>
    </row>
    <row r="13" customFormat="false" ht="15" hidden="false" customHeight="false" outlineLevel="0" collapsed="false">
      <c r="A13" s="7" t="s">
        <v>490</v>
      </c>
      <c r="B13" s="6"/>
      <c r="C13" s="6"/>
      <c r="D13" s="7" t="s">
        <v>491</v>
      </c>
      <c r="E13" s="12" t="s">
        <v>492</v>
      </c>
    </row>
    <row r="14" customFormat="false" ht="15" hidden="false" customHeight="false" outlineLevel="0" collapsed="false">
      <c r="A14" s="7" t="s">
        <v>493</v>
      </c>
      <c r="B14" s="6"/>
      <c r="C14" s="6"/>
      <c r="D14" s="7" t="s">
        <v>494</v>
      </c>
      <c r="E14" s="12" t="s">
        <v>495</v>
      </c>
    </row>
    <row r="15" customFormat="false" ht="23.85" hidden="false" customHeight="false" outlineLevel="0" collapsed="false">
      <c r="A15" s="7" t="s">
        <v>496</v>
      </c>
      <c r="B15" s="6"/>
      <c r="C15" s="6"/>
      <c r="D15" s="41" t="s">
        <v>497</v>
      </c>
      <c r="E15" s="12" t="s">
        <v>498</v>
      </c>
    </row>
    <row r="17" customFormat="false" ht="15" hidden="false" customHeight="false" outlineLevel="0" collapsed="false">
      <c r="A17" s="3" t="s">
        <v>132</v>
      </c>
    </row>
    <row r="18" customFormat="false" ht="30" hidden="false" customHeight="true" outlineLevel="0" collapsed="false">
      <c r="A18" s="5" t="s">
        <v>235</v>
      </c>
      <c r="B18" s="5" t="s">
        <v>76</v>
      </c>
      <c r="C18" s="5" t="s">
        <v>77</v>
      </c>
      <c r="D18" s="5" t="s">
        <v>475</v>
      </c>
      <c r="E18" s="5" t="s">
        <v>139</v>
      </c>
    </row>
    <row r="19" customFormat="false" ht="15" hidden="false" customHeight="false" outlineLevel="0" collapsed="false">
      <c r="A19" s="7" t="s">
        <v>499</v>
      </c>
      <c r="B19" s="31" t="n">
        <v>4</v>
      </c>
      <c r="C19" s="6" t="s">
        <v>500</v>
      </c>
      <c r="D19" s="7" t="s">
        <v>501</v>
      </c>
      <c r="E19" s="12" t="s">
        <v>502</v>
      </c>
    </row>
    <row r="20" customFormat="false" ht="15" hidden="false" customHeight="false" outlineLevel="0" collapsed="false">
      <c r="A20" s="7" t="s">
        <v>503</v>
      </c>
      <c r="B20" s="8"/>
      <c r="C20" s="6"/>
      <c r="D20" s="7" t="s">
        <v>504</v>
      </c>
      <c r="E20" s="12" t="s">
        <v>505</v>
      </c>
    </row>
    <row r="21" customFormat="false" ht="15" hidden="false" customHeight="false" outlineLevel="0" collapsed="false">
      <c r="A21" s="7" t="s">
        <v>506</v>
      </c>
      <c r="B21" s="8"/>
      <c r="C21" s="6"/>
      <c r="D21" s="7" t="s">
        <v>507</v>
      </c>
      <c r="E21" s="12" t="s">
        <v>508</v>
      </c>
    </row>
    <row r="22" customFormat="false" ht="23.85" hidden="false" customHeight="false" outlineLevel="0" collapsed="false">
      <c r="A22" s="7" t="s">
        <v>509</v>
      </c>
      <c r="B22" s="8"/>
      <c r="C22" s="6"/>
      <c r="D22" s="7" t="s">
        <v>510</v>
      </c>
      <c r="E22" s="12" t="s">
        <v>511</v>
      </c>
    </row>
    <row r="23" customFormat="false" ht="15" hidden="false" customHeight="false" outlineLevel="0" collapsed="false">
      <c r="A23" s="7" t="s">
        <v>512</v>
      </c>
      <c r="B23" s="8"/>
      <c r="C23" s="6"/>
      <c r="D23" s="7" t="s">
        <v>513</v>
      </c>
      <c r="E23" s="12" t="s">
        <v>514</v>
      </c>
    </row>
    <row r="24" customFormat="false" ht="15" hidden="false" customHeight="false" outlineLevel="0" collapsed="false">
      <c r="A24" s="7" t="s">
        <v>515</v>
      </c>
      <c r="B24" s="31" t="n">
        <v>50</v>
      </c>
      <c r="C24" s="6" t="s">
        <v>319</v>
      </c>
      <c r="D24" s="7" t="s">
        <v>516</v>
      </c>
      <c r="E24" s="12" t="s">
        <v>517</v>
      </c>
    </row>
    <row r="25" customFormat="false" ht="15" hidden="false" customHeight="false" outlineLevel="0" collapsed="false">
      <c r="A25" s="7" t="s">
        <v>518</v>
      </c>
      <c r="B25" s="14" t="n">
        <v>3.5</v>
      </c>
      <c r="C25" s="6" t="s">
        <v>86</v>
      </c>
      <c r="D25" s="7" t="s">
        <v>519</v>
      </c>
      <c r="E25" s="12" t="s">
        <v>520</v>
      </c>
    </row>
    <row r="26" customFormat="false" ht="15" hidden="false" customHeight="false" outlineLevel="0" collapsed="false">
      <c r="A26" s="7" t="s">
        <v>521</v>
      </c>
      <c r="B26" s="40" t="n">
        <v>305</v>
      </c>
      <c r="C26" s="6" t="s">
        <v>522</v>
      </c>
      <c r="D26" s="7" t="s">
        <v>523</v>
      </c>
      <c r="E26" s="12"/>
    </row>
    <row r="27" customFormat="false" ht="15" hidden="false" customHeight="false" outlineLevel="0" collapsed="false">
      <c r="A27" s="7" t="s">
        <v>524</v>
      </c>
      <c r="B27" s="40" t="n">
        <v>3570</v>
      </c>
      <c r="C27" s="6" t="s">
        <v>522</v>
      </c>
      <c r="D27" s="7" t="s">
        <v>523</v>
      </c>
      <c r="E27" s="12" t="s">
        <v>525</v>
      </c>
    </row>
    <row r="28" customFormat="false" ht="64.15" hidden="false" customHeight="false" outlineLevel="0" collapsed="false">
      <c r="A28" s="4" t="s">
        <v>526</v>
      </c>
    </row>
    <row r="31" customFormat="false" ht="15" hidden="false" customHeight="false" outlineLevel="0" collapsed="false">
      <c r="A31" s="3" t="s">
        <v>527</v>
      </c>
    </row>
    <row r="32" customFormat="false" ht="30" hidden="false" customHeight="true" outlineLevel="0" collapsed="false">
      <c r="A32" s="5" t="s">
        <v>105</v>
      </c>
      <c r="B32" s="5" t="s">
        <v>528</v>
      </c>
      <c r="C32" s="5" t="s">
        <v>77</v>
      </c>
      <c r="D32" s="5" t="s">
        <v>529</v>
      </c>
      <c r="E32" s="5" t="s">
        <v>139</v>
      </c>
    </row>
    <row r="33" customFormat="false" ht="22.35" hidden="false" customHeight="false" outlineLevel="0" collapsed="false">
      <c r="A33" s="7" t="s">
        <v>530</v>
      </c>
      <c r="B33" s="31" t="n">
        <v>860</v>
      </c>
      <c r="C33" s="6" t="s">
        <v>531</v>
      </c>
      <c r="D33" s="12" t="s">
        <v>532</v>
      </c>
      <c r="E33" s="12" t="s">
        <v>533</v>
      </c>
    </row>
    <row r="34" customFormat="false" ht="15" hidden="false" customHeight="false" outlineLevel="0" collapsed="false">
      <c r="A34" s="7" t="s">
        <v>451</v>
      </c>
      <c r="B34" s="31" t="n">
        <v>850</v>
      </c>
      <c r="C34" s="6" t="s">
        <v>534</v>
      </c>
      <c r="D34" s="12" t="s">
        <v>450</v>
      </c>
      <c r="E34" s="12" t="s">
        <v>535</v>
      </c>
    </row>
    <row r="35" customFormat="false" ht="15" hidden="false" customHeight="false" outlineLevel="0" collapsed="false">
      <c r="A35" s="7" t="s">
        <v>536</v>
      </c>
      <c r="B35" s="31" t="n">
        <v>40</v>
      </c>
      <c r="C35" s="6" t="s">
        <v>537</v>
      </c>
      <c r="D35" s="12" t="s">
        <v>538</v>
      </c>
      <c r="E35" s="12" t="s">
        <v>539</v>
      </c>
    </row>
    <row r="36" customFormat="false" ht="15" hidden="false" customHeight="false" outlineLevel="0" collapsed="false">
      <c r="A36" s="7" t="s">
        <v>540</v>
      </c>
      <c r="B36" s="31" t="n">
        <v>18</v>
      </c>
      <c r="C36" s="6" t="s">
        <v>534</v>
      </c>
      <c r="D36" s="12" t="s">
        <v>541</v>
      </c>
      <c r="E36" s="12" t="s">
        <v>542</v>
      </c>
    </row>
    <row r="37" customFormat="false" ht="15" hidden="false" customHeight="false" outlineLevel="0" collapsed="false">
      <c r="A37" s="7" t="s">
        <v>543</v>
      </c>
      <c r="B37" s="31" t="n">
        <v>85</v>
      </c>
      <c r="C37" s="6" t="s">
        <v>534</v>
      </c>
      <c r="D37" s="12" t="s">
        <v>541</v>
      </c>
      <c r="E37" s="12" t="s">
        <v>544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FA5"/>
    <pageSetUpPr fitToPage="false"/>
  </sheetPr>
  <dimension ref="A1: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6" min="2" style="0" width="14"/>
    <col collapsed="false" customWidth="true" hidden="false" outlineLevel="0" max="7" min="7" style="0" width="34"/>
  </cols>
  <sheetData>
    <row r="1" customFormat="false" ht="21.75" hidden="false" customHeight="true" outlineLevel="0" collapsed="false">
      <c r="A1" s="1" t="s">
        <v>545</v>
      </c>
    </row>
    <row r="2" customFormat="false" ht="15" hidden="false" customHeight="false" outlineLevel="0" collapsed="false">
      <c r="A2" s="2" t="s">
        <v>546</v>
      </c>
    </row>
    <row r="4" customFormat="false" ht="15" hidden="false" customHeight="false" outlineLevel="0" collapsed="false">
      <c r="A4" s="3" t="s">
        <v>547</v>
      </c>
    </row>
    <row r="5" customFormat="false" ht="30" hidden="false" customHeight="true" outlineLevel="0" collapsed="false">
      <c r="A5" s="5" t="s">
        <v>548</v>
      </c>
      <c r="B5" s="5" t="s">
        <v>549</v>
      </c>
      <c r="C5" s="5" t="s">
        <v>550</v>
      </c>
      <c r="D5" s="5" t="s">
        <v>551</v>
      </c>
      <c r="E5" s="5" t="s">
        <v>552</v>
      </c>
      <c r="F5" s="5" t="s">
        <v>553</v>
      </c>
      <c r="G5" s="5" t="s">
        <v>139</v>
      </c>
    </row>
    <row r="6" customFormat="false" ht="15" hidden="false" customHeight="false" outlineLevel="0" collapsed="false">
      <c r="A6" s="7" t="s">
        <v>554</v>
      </c>
      <c r="B6" s="31" t="n">
        <v>5004</v>
      </c>
      <c r="C6" s="31" t="n">
        <v>6651</v>
      </c>
      <c r="D6" s="31" t="n">
        <v>6702</v>
      </c>
      <c r="E6" s="31" t="n">
        <v>7441</v>
      </c>
      <c r="F6" s="31" t="n">
        <v>7647</v>
      </c>
      <c r="G6" s="12" t="s">
        <v>555</v>
      </c>
    </row>
    <row r="7" customFormat="false" ht="15" hidden="false" customHeight="false" outlineLevel="0" collapsed="false">
      <c r="A7" s="6" t="s">
        <v>556</v>
      </c>
      <c r="B7" s="26"/>
      <c r="C7" s="26" t="n">
        <f aca="false">C6/B6-1</f>
        <v>0.329136690647482</v>
      </c>
      <c r="D7" s="26" t="n">
        <f aca="false">D6/C6-1</f>
        <v>0.00766801984663967</v>
      </c>
      <c r="E7" s="26" t="n">
        <f aca="false">E6/D6-1</f>
        <v>0.110265592360489</v>
      </c>
      <c r="F7" s="26" t="n">
        <f aca="false">F6/E6-1</f>
        <v>0.0276844510146486</v>
      </c>
      <c r="G7" s="12" t="s">
        <v>273</v>
      </c>
    </row>
    <row r="8" customFormat="false" ht="15" hidden="false" customHeight="false" outlineLevel="0" collapsed="false">
      <c r="A8" s="7" t="s">
        <v>557</v>
      </c>
      <c r="B8" s="31" t="n">
        <v>1280</v>
      </c>
      <c r="C8" s="31" t="n">
        <v>1795</v>
      </c>
      <c r="D8" s="31" t="n">
        <v>1818</v>
      </c>
      <c r="E8" s="31" t="n">
        <v>1980</v>
      </c>
      <c r="F8" s="31" t="n">
        <v>2059</v>
      </c>
      <c r="G8" s="12" t="s">
        <v>558</v>
      </c>
    </row>
    <row r="9" customFormat="false" ht="15" hidden="false" customHeight="false" outlineLevel="0" collapsed="false">
      <c r="A9" s="6" t="s">
        <v>559</v>
      </c>
      <c r="B9" s="26" t="n">
        <f aca="false">B8/B6</f>
        <v>0.255795363709033</v>
      </c>
      <c r="C9" s="26" t="n">
        <f aca="false">C8/C6</f>
        <v>0.269884227935649</v>
      </c>
      <c r="D9" s="26" t="n">
        <f aca="false">D8/D6</f>
        <v>0.271262309758281</v>
      </c>
      <c r="E9" s="26" t="n">
        <f aca="false">E8/E6</f>
        <v>0.266093267034001</v>
      </c>
      <c r="F9" s="26" t="n">
        <f aca="false">F8/F6</f>
        <v>0.26925591735321</v>
      </c>
      <c r="G9" s="12" t="s">
        <v>273</v>
      </c>
    </row>
    <row r="10" customFormat="false" ht="22.35" hidden="false" customHeight="false" outlineLevel="0" collapsed="false">
      <c r="A10" s="7" t="s">
        <v>560</v>
      </c>
      <c r="B10" s="31" t="n">
        <v>604</v>
      </c>
      <c r="C10" s="31" t="n">
        <v>918</v>
      </c>
      <c r="D10" s="31" t="n">
        <v>889</v>
      </c>
      <c r="E10" s="31" t="n">
        <v>905</v>
      </c>
      <c r="F10" s="31" t="n">
        <v>913</v>
      </c>
      <c r="G10" s="12" t="s">
        <v>561</v>
      </c>
    </row>
    <row r="11" customFormat="false" ht="15" hidden="false" customHeight="false" outlineLevel="0" collapsed="false">
      <c r="A11" s="6" t="s">
        <v>562</v>
      </c>
      <c r="B11" s="26" t="n">
        <f aca="false">B10/B6</f>
        <v>0.1207034372502</v>
      </c>
      <c r="C11" s="26" t="n">
        <f aca="false">C10/C6</f>
        <v>0.138024357239513</v>
      </c>
      <c r="D11" s="26" t="n">
        <f aca="false">D10/D6</f>
        <v>0.132646971053417</v>
      </c>
      <c r="E11" s="26" t="n">
        <f aca="false">E10/E6</f>
        <v>0.121623437709985</v>
      </c>
      <c r="F11" s="26" t="n">
        <f aca="false">F10/F6</f>
        <v>0.119393226101739</v>
      </c>
      <c r="G11" s="12" t="s">
        <v>273</v>
      </c>
    </row>
    <row r="12" customFormat="false" ht="15" hidden="false" customHeight="false" outlineLevel="0" collapsed="false">
      <c r="A12" s="7" t="s">
        <v>563</v>
      </c>
      <c r="B12" s="31" t="n">
        <v>425</v>
      </c>
      <c r="C12" s="31" t="n">
        <v>775</v>
      </c>
      <c r="D12" s="31" t="n">
        <v>740</v>
      </c>
      <c r="E12" s="31" t="n">
        <v>719</v>
      </c>
      <c r="F12" s="31" t="n">
        <v>722</v>
      </c>
      <c r="G12" s="12" t="s">
        <v>558</v>
      </c>
    </row>
    <row r="13" customFormat="false" ht="15" hidden="false" customHeight="false" outlineLevel="0" collapsed="false">
      <c r="A13" s="7" t="s">
        <v>564</v>
      </c>
      <c r="B13" s="31" t="n">
        <v>225</v>
      </c>
      <c r="C13" s="31" t="n">
        <v>366</v>
      </c>
      <c r="D13" s="31" t="n">
        <v>371</v>
      </c>
      <c r="E13" s="31" t="n">
        <v>434</v>
      </c>
      <c r="F13" s="31" t="n">
        <v>462</v>
      </c>
      <c r="G13" s="12" t="s">
        <v>558</v>
      </c>
    </row>
    <row r="14" customFormat="false" ht="15" hidden="false" customHeight="false" outlineLevel="0" collapsed="false">
      <c r="A14" s="7" t="s">
        <v>565</v>
      </c>
      <c r="B14" s="42" t="n">
        <v>0.55</v>
      </c>
      <c r="C14" s="42" t="n">
        <v>2.13</v>
      </c>
      <c r="D14" s="42" t="n">
        <v>2.15</v>
      </c>
      <c r="E14" s="42" t="n">
        <v>2.13</v>
      </c>
      <c r="F14" s="42" t="n">
        <v>2.31</v>
      </c>
      <c r="G14" s="12" t="s">
        <v>558</v>
      </c>
    </row>
    <row r="15" customFormat="false" ht="15" hidden="false" customHeight="false" outlineLevel="0" collapsed="false">
      <c r="A15" s="7" t="s">
        <v>566</v>
      </c>
      <c r="B15" s="16" t="n">
        <f aca="false">(F6/B6)^(1/4)-1</f>
        <v>0.111842951695042</v>
      </c>
      <c r="C15" s="6"/>
      <c r="D15" s="6"/>
      <c r="E15" s="6"/>
      <c r="F15" s="6"/>
      <c r="G15" s="12" t="s">
        <v>567</v>
      </c>
    </row>
    <row r="17" customFormat="false" ht="15" hidden="false" customHeight="false" outlineLevel="0" collapsed="false">
      <c r="A17" s="3" t="s">
        <v>568</v>
      </c>
    </row>
    <row r="18" customFormat="false" ht="30" hidden="false" customHeight="true" outlineLevel="0" collapsed="false">
      <c r="A18" s="5" t="s">
        <v>569</v>
      </c>
      <c r="B18" s="5" t="s">
        <v>570</v>
      </c>
      <c r="C18" s="5" t="s">
        <v>571</v>
      </c>
      <c r="D18" s="5"/>
      <c r="E18" s="5"/>
      <c r="F18" s="5"/>
      <c r="G18" s="5" t="s">
        <v>164</v>
      </c>
    </row>
    <row r="19" customFormat="false" ht="15" hidden="false" customHeight="false" outlineLevel="0" collapsed="false">
      <c r="A19" s="7" t="s">
        <v>572</v>
      </c>
      <c r="B19" s="17" t="n">
        <v>0.44</v>
      </c>
      <c r="C19" s="27" t="n">
        <f aca="false">B19*$F$6</f>
        <v>3364.68</v>
      </c>
      <c r="D19" s="6"/>
      <c r="E19" s="6"/>
      <c r="F19" s="6"/>
      <c r="G19" s="12" t="s">
        <v>573</v>
      </c>
    </row>
    <row r="20" customFormat="false" ht="15" hidden="false" customHeight="false" outlineLevel="0" collapsed="false">
      <c r="A20" s="7" t="s">
        <v>574</v>
      </c>
      <c r="B20" s="17" t="n">
        <v>0.38</v>
      </c>
      <c r="C20" s="27" t="n">
        <f aca="false">B20*$F$6</f>
        <v>2905.86</v>
      </c>
      <c r="D20" s="6"/>
      <c r="E20" s="6"/>
      <c r="F20" s="6"/>
      <c r="G20" s="12" t="s">
        <v>573</v>
      </c>
    </row>
    <row r="21" customFormat="false" ht="15" hidden="false" customHeight="false" outlineLevel="0" collapsed="false">
      <c r="A21" s="7" t="s">
        <v>575</v>
      </c>
      <c r="B21" s="17" t="n">
        <v>0.18</v>
      </c>
      <c r="C21" s="27" t="n">
        <f aca="false">B21*$F$6</f>
        <v>1376.46</v>
      </c>
      <c r="D21" s="6"/>
      <c r="E21" s="6"/>
      <c r="F21" s="6"/>
      <c r="G21" s="12" t="s">
        <v>573</v>
      </c>
    </row>
    <row r="22" customFormat="false" ht="15" hidden="false" customHeight="false" outlineLevel="0" collapsed="false">
      <c r="A22" s="19" t="s">
        <v>576</v>
      </c>
      <c r="B22" s="30" t="n">
        <f aca="false">SUM(B19:B21)</f>
        <v>1</v>
      </c>
      <c r="C22" s="37" t="n">
        <f aca="false">SUM(C19:C21)</f>
        <v>7647</v>
      </c>
      <c r="D22" s="33"/>
      <c r="E22" s="33"/>
      <c r="F22" s="33"/>
      <c r="G22" s="24" t="s">
        <v>273</v>
      </c>
    </row>
    <row r="24" customFormat="false" ht="30" hidden="false" customHeight="true" outlineLevel="0" collapsed="false">
      <c r="A24" s="5" t="s">
        <v>577</v>
      </c>
      <c r="B24" s="5" t="s">
        <v>163</v>
      </c>
      <c r="C24" s="5"/>
      <c r="D24" s="5"/>
      <c r="E24" s="5"/>
      <c r="F24" s="5"/>
      <c r="G24" s="5" t="s">
        <v>164</v>
      </c>
    </row>
    <row r="25" customFormat="false" ht="15" hidden="false" customHeight="false" outlineLevel="0" collapsed="false">
      <c r="A25" s="7" t="s">
        <v>578</v>
      </c>
      <c r="B25" s="17" t="n">
        <v>0.5</v>
      </c>
      <c r="C25" s="6"/>
      <c r="D25" s="6"/>
      <c r="E25" s="6"/>
      <c r="F25" s="6"/>
      <c r="G25" s="12" t="s">
        <v>579</v>
      </c>
    </row>
    <row r="26" customFormat="false" ht="22.35" hidden="false" customHeight="false" outlineLevel="0" collapsed="false">
      <c r="A26" s="7" t="s">
        <v>580</v>
      </c>
      <c r="B26" s="17" t="n">
        <v>0.5</v>
      </c>
      <c r="C26" s="6"/>
      <c r="D26" s="6"/>
      <c r="E26" s="6"/>
      <c r="F26" s="6"/>
      <c r="G26" s="12" t="s">
        <v>581</v>
      </c>
    </row>
    <row r="28" customFormat="false" ht="15" hidden="false" customHeight="false" outlineLevel="0" collapsed="false">
      <c r="A28" s="3" t="s">
        <v>582</v>
      </c>
    </row>
    <row r="29" customFormat="false" ht="30" hidden="false" customHeight="true" outlineLevel="0" collapsed="false">
      <c r="A29" s="5" t="s">
        <v>138</v>
      </c>
      <c r="B29" s="5" t="s">
        <v>76</v>
      </c>
      <c r="C29" s="5" t="s">
        <v>77</v>
      </c>
      <c r="D29" s="5"/>
      <c r="E29" s="5"/>
      <c r="F29" s="5"/>
      <c r="G29" s="5" t="s">
        <v>164</v>
      </c>
    </row>
    <row r="30" customFormat="false" ht="15" hidden="false" customHeight="false" outlineLevel="0" collapsed="false">
      <c r="A30" s="7" t="s">
        <v>583</v>
      </c>
      <c r="B30" s="14" t="n">
        <v>39</v>
      </c>
      <c r="C30" s="6" t="s">
        <v>80</v>
      </c>
      <c r="D30" s="6"/>
      <c r="E30" s="6"/>
      <c r="F30" s="6"/>
      <c r="G30" s="12" t="s">
        <v>584</v>
      </c>
    </row>
    <row r="31" customFormat="false" ht="15" hidden="false" customHeight="false" outlineLevel="0" collapsed="false">
      <c r="A31" s="7" t="s">
        <v>585</v>
      </c>
      <c r="B31" s="17" t="n">
        <v>0.2</v>
      </c>
      <c r="C31" s="6" t="s">
        <v>93</v>
      </c>
      <c r="D31" s="6"/>
      <c r="E31" s="6"/>
      <c r="F31" s="6"/>
      <c r="G31" s="12" t="s">
        <v>586</v>
      </c>
    </row>
    <row r="32" customFormat="false" ht="15" hidden="false" customHeight="false" outlineLevel="0" collapsed="false">
      <c r="A32" s="7" t="s">
        <v>587</v>
      </c>
      <c r="B32" s="14" t="n">
        <v>44</v>
      </c>
      <c r="C32" s="6" t="s">
        <v>80</v>
      </c>
      <c r="D32" s="6"/>
      <c r="E32" s="6"/>
      <c r="F32" s="6"/>
      <c r="G32" s="12" t="s">
        <v>586</v>
      </c>
    </row>
    <row r="33" customFormat="false" ht="15" hidden="false" customHeight="false" outlineLevel="0" collapsed="false">
      <c r="A33" s="7" t="s">
        <v>588</v>
      </c>
      <c r="B33" s="17" t="n">
        <v>0.17</v>
      </c>
      <c r="C33" s="6" t="s">
        <v>93</v>
      </c>
      <c r="D33" s="6"/>
      <c r="E33" s="6"/>
      <c r="F33" s="6"/>
      <c r="G33" s="12" t="s">
        <v>586</v>
      </c>
    </row>
    <row r="34" customFormat="false" ht="15" hidden="false" customHeight="false" outlineLevel="0" collapsed="false">
      <c r="A34" s="7" t="s">
        <v>589</v>
      </c>
      <c r="B34" s="31" t="n">
        <v>370</v>
      </c>
      <c r="C34" s="6" t="s">
        <v>388</v>
      </c>
      <c r="D34" s="6"/>
      <c r="E34" s="6"/>
      <c r="F34" s="6"/>
      <c r="G34" s="12" t="s">
        <v>590</v>
      </c>
    </row>
    <row r="35" customFormat="false" ht="15" hidden="false" customHeight="false" outlineLevel="0" collapsed="false">
      <c r="A35" s="7" t="s">
        <v>591</v>
      </c>
      <c r="B35" s="31" t="n">
        <v>5600</v>
      </c>
      <c r="C35" s="6" t="s">
        <v>388</v>
      </c>
      <c r="D35" s="6"/>
      <c r="E35" s="6"/>
      <c r="F35" s="6"/>
      <c r="G35" s="12" t="s">
        <v>590</v>
      </c>
    </row>
    <row r="36" customFormat="false" ht="15" hidden="false" customHeight="false" outlineLevel="0" collapsed="false">
      <c r="A36" s="7" t="s">
        <v>592</v>
      </c>
      <c r="B36" s="31" t="n">
        <v>60000</v>
      </c>
      <c r="C36" s="6" t="s">
        <v>388</v>
      </c>
      <c r="D36" s="6"/>
      <c r="E36" s="6"/>
      <c r="F36" s="6"/>
      <c r="G36" s="12" t="s">
        <v>590</v>
      </c>
    </row>
    <row r="37" customFormat="false" ht="15" hidden="false" customHeight="false" outlineLevel="0" collapsed="false">
      <c r="A37" s="7" t="s">
        <v>593</v>
      </c>
      <c r="B37" s="31" t="n">
        <v>225000</v>
      </c>
      <c r="C37" s="6" t="s">
        <v>388</v>
      </c>
      <c r="D37" s="6"/>
      <c r="E37" s="6"/>
      <c r="F37" s="6"/>
      <c r="G37" s="12" t="s">
        <v>590</v>
      </c>
    </row>
    <row r="38" customFormat="false" ht="22.35" hidden="false" customHeight="false" outlineLevel="0" collapsed="false">
      <c r="A38" s="19" t="s">
        <v>594</v>
      </c>
      <c r="B38" s="37" t="n">
        <f aca="false">B30*B31*1000</f>
        <v>7800</v>
      </c>
      <c r="C38" s="33" t="s">
        <v>548</v>
      </c>
      <c r="D38" s="33"/>
      <c r="E38" s="33"/>
      <c r="F38" s="33"/>
      <c r="G38" s="24" t="s">
        <v>595</v>
      </c>
    </row>
    <row r="40" customFormat="false" ht="15" hidden="false" customHeight="false" outlineLevel="0" collapsed="false">
      <c r="A40" s="3" t="s">
        <v>596</v>
      </c>
    </row>
    <row r="41" customFormat="false" ht="30" hidden="false" customHeight="true" outlineLevel="0" collapsed="false">
      <c r="A41" s="5" t="s">
        <v>138</v>
      </c>
      <c r="B41" s="5" t="s">
        <v>597</v>
      </c>
      <c r="C41" s="5" t="s">
        <v>598</v>
      </c>
      <c r="D41" s="5" t="s">
        <v>599</v>
      </c>
      <c r="E41" s="5"/>
      <c r="F41" s="5"/>
      <c r="G41" s="5" t="s">
        <v>139</v>
      </c>
    </row>
    <row r="42" customFormat="false" ht="15" hidden="false" customHeight="false" outlineLevel="0" collapsed="false">
      <c r="A42" s="7" t="s">
        <v>600</v>
      </c>
      <c r="B42" s="31" t="n">
        <v>1911</v>
      </c>
      <c r="C42" s="31" t="n">
        <v>1910</v>
      </c>
      <c r="D42" s="26" t="n">
        <f aca="false">B42/C42-1</f>
        <v>0.000523560209424012</v>
      </c>
      <c r="E42" s="6"/>
      <c r="F42" s="6"/>
      <c r="G42" s="12" t="s">
        <v>579</v>
      </c>
    </row>
    <row r="43" customFormat="false" ht="15" hidden="false" customHeight="false" outlineLevel="0" collapsed="false">
      <c r="A43" s="7" t="s">
        <v>601</v>
      </c>
      <c r="B43" s="31" t="n">
        <v>520</v>
      </c>
      <c r="C43" s="31" t="n">
        <v>510</v>
      </c>
      <c r="D43" s="26" t="n">
        <f aca="false">B43/C43-1</f>
        <v>0.0196078431372548</v>
      </c>
      <c r="E43" s="6"/>
      <c r="F43" s="6"/>
      <c r="G43" s="12" t="s">
        <v>579</v>
      </c>
    </row>
    <row r="44" customFormat="false" ht="15" hidden="false" customHeight="false" outlineLevel="0" collapsed="false">
      <c r="A44" s="7" t="s">
        <v>602</v>
      </c>
      <c r="B44" s="31" t="n">
        <v>226</v>
      </c>
      <c r="C44" s="31" t="n">
        <v>224</v>
      </c>
      <c r="D44" s="26" t="n">
        <f aca="false">B44/C44-1</f>
        <v>0.0089285714285714</v>
      </c>
      <c r="E44" s="6"/>
      <c r="F44" s="6"/>
      <c r="G44" s="12" t="s">
        <v>579</v>
      </c>
    </row>
    <row r="45" customFormat="false" ht="15" hidden="false" customHeight="false" outlineLevel="0" collapsed="false">
      <c r="A45" s="7" t="s">
        <v>603</v>
      </c>
      <c r="B45" s="31" t="n">
        <v>113</v>
      </c>
      <c r="C45" s="31" t="n">
        <v>105</v>
      </c>
      <c r="D45" s="26" t="n">
        <f aca="false">B45/C45-1</f>
        <v>0.0761904761904761</v>
      </c>
      <c r="E45" s="6"/>
      <c r="F45" s="6"/>
      <c r="G45" s="12" t="s">
        <v>579</v>
      </c>
    </row>
    <row r="46" customFormat="false" ht="15" hidden="false" customHeight="false" outlineLevel="0" collapsed="false">
      <c r="A46" s="7" t="s">
        <v>604</v>
      </c>
      <c r="B46" s="17" t="n">
        <v>0.272</v>
      </c>
      <c r="C46" s="17" t="n">
        <v>0.267</v>
      </c>
      <c r="D46" s="26" t="n">
        <f aca="false">B46-C46</f>
        <v>0.005</v>
      </c>
      <c r="E46" s="6"/>
      <c r="F46" s="6"/>
      <c r="G46" s="12" t="s">
        <v>605</v>
      </c>
    </row>
    <row r="47" customFormat="false" ht="15" hidden="false" customHeight="false" outlineLevel="0" collapsed="false">
      <c r="A47" s="7" t="s">
        <v>606</v>
      </c>
      <c r="B47" s="42" t="n">
        <v>0.72</v>
      </c>
      <c r="C47" s="42" t="n">
        <v>0.68</v>
      </c>
      <c r="D47" s="26" t="n">
        <f aca="false">B47/C47-1</f>
        <v>0.0588235294117645</v>
      </c>
      <c r="E47" s="6"/>
      <c r="F47" s="6"/>
      <c r="G47" s="12" t="s">
        <v>607</v>
      </c>
    </row>
    <row r="49" customFormat="false" ht="30" hidden="false" customHeight="true" outlineLevel="0" collapsed="false">
      <c r="A49" s="5" t="s">
        <v>608</v>
      </c>
      <c r="B49" s="5" t="s">
        <v>609</v>
      </c>
      <c r="C49" s="5" t="s">
        <v>610</v>
      </c>
      <c r="D49" s="5" t="s">
        <v>611</v>
      </c>
      <c r="E49" s="5"/>
      <c r="F49" s="5"/>
      <c r="G49" s="5" t="s">
        <v>139</v>
      </c>
    </row>
    <row r="50" customFormat="false" ht="15" hidden="false" customHeight="false" outlineLevel="0" collapsed="false">
      <c r="A50" s="7" t="s">
        <v>600</v>
      </c>
      <c r="B50" s="31" t="n">
        <v>7800</v>
      </c>
      <c r="C50" s="31" t="n">
        <v>7900</v>
      </c>
      <c r="D50" s="16" t="n">
        <f aca="false">AVERAGE(B50:C50)/$F$6-1</f>
        <v>0.026546358048908</v>
      </c>
      <c r="E50" s="6"/>
      <c r="F50" s="6"/>
      <c r="G50" s="12" t="s">
        <v>612</v>
      </c>
    </row>
    <row r="51" customFormat="false" ht="15" hidden="false" customHeight="false" outlineLevel="0" collapsed="false">
      <c r="A51" s="7" t="s">
        <v>602</v>
      </c>
      <c r="B51" s="31" t="n">
        <v>950</v>
      </c>
      <c r="C51" s="31" t="n">
        <v>980</v>
      </c>
      <c r="D51" s="6"/>
      <c r="E51" s="6"/>
      <c r="F51" s="6"/>
      <c r="G51" s="12" t="s">
        <v>613</v>
      </c>
    </row>
    <row r="52" customFormat="false" ht="15" hidden="false" customHeight="false" outlineLevel="0" collapsed="false">
      <c r="A52" s="7" t="s">
        <v>614</v>
      </c>
      <c r="B52" s="17" t="n">
        <v>0.122</v>
      </c>
      <c r="C52" s="17" t="n">
        <v>0.124</v>
      </c>
      <c r="D52" s="6"/>
      <c r="E52" s="6"/>
      <c r="F52" s="6"/>
      <c r="G52" s="12" t="s">
        <v>615</v>
      </c>
    </row>
    <row r="54" customFormat="false" ht="15" hidden="false" customHeight="false" outlineLevel="0" collapsed="false">
      <c r="A54" s="3" t="s">
        <v>616</v>
      </c>
    </row>
    <row r="55" customFormat="false" ht="30" hidden="false" customHeight="true" outlineLevel="0" collapsed="false">
      <c r="A55" s="5" t="s">
        <v>617</v>
      </c>
      <c r="B55" s="5" t="s">
        <v>618</v>
      </c>
      <c r="C55" s="5" t="s">
        <v>619</v>
      </c>
      <c r="D55" s="5"/>
      <c r="E55" s="5"/>
      <c r="F55" s="5"/>
      <c r="G55" s="5" t="s">
        <v>105</v>
      </c>
    </row>
    <row r="56" customFormat="false" ht="32.8" hidden="false" customHeight="false" outlineLevel="0" collapsed="false">
      <c r="A56" s="7" t="s">
        <v>620</v>
      </c>
      <c r="B56" s="7" t="s">
        <v>621</v>
      </c>
      <c r="C56" s="6" t="s">
        <v>622</v>
      </c>
      <c r="D56" s="6"/>
      <c r="E56" s="6"/>
      <c r="F56" s="6"/>
      <c r="G56" s="12" t="s">
        <v>623</v>
      </c>
    </row>
    <row r="57" customFormat="false" ht="23.85" hidden="false" customHeight="false" outlineLevel="0" collapsed="false">
      <c r="A57" s="7" t="s">
        <v>624</v>
      </c>
      <c r="B57" s="7" t="s">
        <v>621</v>
      </c>
      <c r="C57" s="6" t="s">
        <v>625</v>
      </c>
      <c r="D57" s="6"/>
      <c r="E57" s="6"/>
      <c r="F57" s="6"/>
      <c r="G57" s="12" t="s">
        <v>626</v>
      </c>
    </row>
    <row r="58" customFormat="false" ht="53.7" hidden="false" customHeight="false" outlineLevel="0" collapsed="false">
      <c r="A58" s="4" t="s">
        <v>627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FA5"/>
    <pageSetUpPr fitToPage="false"/>
  </sheetPr>
  <dimension ref="A1:J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9" min="2" style="0" width="12"/>
    <col collapsed="false" customWidth="true" hidden="false" outlineLevel="0" max="10" min="10" style="0" width="30"/>
  </cols>
  <sheetData>
    <row r="1" customFormat="false" ht="21.75" hidden="false" customHeight="true" outlineLevel="0" collapsed="false">
      <c r="A1" s="1" t="s">
        <v>628</v>
      </c>
    </row>
    <row r="2" customFormat="false" ht="15" hidden="false" customHeight="false" outlineLevel="0" collapsed="false">
      <c r="A2" s="2" t="s">
        <v>629</v>
      </c>
    </row>
    <row r="4" customFormat="false" ht="15" hidden="false" customHeight="false" outlineLevel="0" collapsed="false">
      <c r="A4" s="3" t="s">
        <v>630</v>
      </c>
    </row>
    <row r="5" customFormat="false" ht="30" hidden="false" customHeight="true" outlineLevel="0" collapsed="false">
      <c r="A5" s="5" t="s">
        <v>548</v>
      </c>
      <c r="B5" s="5" t="s">
        <v>631</v>
      </c>
      <c r="C5" s="5" t="s">
        <v>632</v>
      </c>
      <c r="D5" s="5" t="s">
        <v>633</v>
      </c>
      <c r="E5" s="5" t="s">
        <v>634</v>
      </c>
      <c r="F5" s="5" t="s">
        <v>635</v>
      </c>
      <c r="G5" s="5" t="s">
        <v>636</v>
      </c>
      <c r="H5" s="5" t="s">
        <v>637</v>
      </c>
      <c r="I5" s="5" t="s">
        <v>638</v>
      </c>
      <c r="J5" s="5" t="s">
        <v>139</v>
      </c>
    </row>
    <row r="6" customFormat="false" ht="22.35" hidden="false" customHeight="false" outlineLevel="0" collapsed="false">
      <c r="A6" s="7" t="s">
        <v>554</v>
      </c>
      <c r="B6" s="31" t="n">
        <v>22010</v>
      </c>
      <c r="C6" s="31" t="n">
        <v>21819</v>
      </c>
      <c r="D6" s="31" t="n">
        <v>22792</v>
      </c>
      <c r="E6" s="31" t="n">
        <v>28566</v>
      </c>
      <c r="F6" s="31" t="n">
        <v>29734</v>
      </c>
      <c r="G6" s="31" t="n">
        <v>29635</v>
      </c>
      <c r="H6" s="31" t="n">
        <v>30762</v>
      </c>
      <c r="I6" s="31" t="n">
        <v>31316</v>
      </c>
      <c r="J6" s="12" t="s">
        <v>639</v>
      </c>
    </row>
    <row r="7" customFormat="false" ht="15" hidden="false" customHeight="false" outlineLevel="0" collapsed="false">
      <c r="A7" s="6" t="s">
        <v>556</v>
      </c>
      <c r="B7" s="26"/>
      <c r="C7" s="26" t="n">
        <f aca="false">C6/B6-1</f>
        <v>-0.0086778736937756</v>
      </c>
      <c r="D7" s="26" t="n">
        <f aca="false">D6/C6-1</f>
        <v>0.044594161052294</v>
      </c>
      <c r="E7" s="26" t="n">
        <f aca="false">E6/D6-1</f>
        <v>0.253334503334503</v>
      </c>
      <c r="F7" s="26" t="n">
        <f aca="false">F6/E6-1</f>
        <v>0.0408877686760485</v>
      </c>
      <c r="G7" s="26" t="n">
        <f aca="false">G6/F6-1</f>
        <v>-0.00332952175960177</v>
      </c>
      <c r="H7" s="26" t="n">
        <f aca="false">H6/G6-1</f>
        <v>0.0380293571790114</v>
      </c>
      <c r="I7" s="26" t="n">
        <f aca="false">I6/H6-1</f>
        <v>0.0180092321695597</v>
      </c>
      <c r="J7" s="12" t="s">
        <v>273</v>
      </c>
    </row>
    <row r="8" customFormat="false" ht="15" hidden="false" customHeight="false" outlineLevel="0" collapsed="false">
      <c r="A8" s="7" t="s">
        <v>557</v>
      </c>
      <c r="B8" s="31" t="n">
        <v>6458</v>
      </c>
      <c r="C8" s="31" t="n">
        <v>6421</v>
      </c>
      <c r="D8" s="31" t="n">
        <v>6980</v>
      </c>
      <c r="E8" s="31" t="n">
        <v>8756</v>
      </c>
      <c r="F8" s="31" t="n">
        <v>9025</v>
      </c>
      <c r="G8" s="31" t="n">
        <v>9053</v>
      </c>
      <c r="H8" s="31" t="n">
        <v>9435</v>
      </c>
      <c r="I8" s="31" t="n">
        <v>9708</v>
      </c>
      <c r="J8" s="12" t="s">
        <v>558</v>
      </c>
    </row>
    <row r="9" customFormat="false" ht="15" hidden="false" customHeight="false" outlineLevel="0" collapsed="false">
      <c r="A9" s="6" t="s">
        <v>559</v>
      </c>
      <c r="B9" s="26" t="n">
        <f aca="false">B8/B6</f>
        <v>0.29341208541572</v>
      </c>
      <c r="C9" s="26" t="n">
        <f aca="false">C8/C6</f>
        <v>0.294284797653421</v>
      </c>
      <c r="D9" s="26" t="n">
        <f aca="false">D8/D6</f>
        <v>0.306247806247806</v>
      </c>
      <c r="E9" s="26" t="n">
        <f aca="false">E8/E6</f>
        <v>0.306518238465308</v>
      </c>
      <c r="F9" s="26" t="n">
        <f aca="false">F8/F6</f>
        <v>0.303524584650568</v>
      </c>
      <c r="G9" s="26" t="n">
        <f aca="false">G8/G6</f>
        <v>0.305483381137169</v>
      </c>
      <c r="H9" s="26" t="n">
        <f aca="false">H8/H6</f>
        <v>0.306709576750536</v>
      </c>
      <c r="I9" s="26" t="n">
        <f aca="false">I8/I6</f>
        <v>0.310001277302337</v>
      </c>
      <c r="J9" s="12" t="s">
        <v>273</v>
      </c>
    </row>
    <row r="10" customFormat="false" ht="15" hidden="false" customHeight="false" outlineLevel="0" collapsed="false">
      <c r="A10" s="7" t="s">
        <v>640</v>
      </c>
      <c r="B10" s="31"/>
      <c r="C10" s="31" t="n">
        <v>1581</v>
      </c>
      <c r="D10" s="31" t="n">
        <v>2168</v>
      </c>
      <c r="E10" s="31" t="n">
        <v>3121</v>
      </c>
      <c r="F10" s="31" t="n">
        <v>2980</v>
      </c>
      <c r="G10" s="31" t="n">
        <v>2987</v>
      </c>
      <c r="H10" s="31" t="n">
        <v>2979</v>
      </c>
      <c r="I10" s="31" t="n">
        <v>3243</v>
      </c>
      <c r="J10" s="12" t="s">
        <v>641</v>
      </c>
    </row>
    <row r="11" customFormat="false" ht="15" hidden="false" customHeight="false" outlineLevel="0" collapsed="false">
      <c r="A11" s="7" t="s">
        <v>563</v>
      </c>
      <c r="B11" s="31" t="n">
        <v>1402</v>
      </c>
      <c r="C11" s="31" t="n">
        <v>1422</v>
      </c>
      <c r="D11" s="31" t="n">
        <v>2034</v>
      </c>
      <c r="E11" s="31" t="n">
        <v>2820</v>
      </c>
      <c r="F11" s="31" t="n">
        <v>2659</v>
      </c>
      <c r="G11" s="31" t="n">
        <v>2652</v>
      </c>
      <c r="H11" s="31" t="n">
        <v>2606</v>
      </c>
      <c r="I11" s="31" t="n">
        <v>2789</v>
      </c>
      <c r="J11" s="12" t="s">
        <v>558</v>
      </c>
    </row>
    <row r="12" customFormat="false" ht="15" hidden="false" customHeight="false" outlineLevel="0" collapsed="false">
      <c r="A12" s="6" t="s">
        <v>642</v>
      </c>
      <c r="B12" s="26" t="n">
        <f aca="false">B11/B6</f>
        <v>0.0636983189459337</v>
      </c>
      <c r="C12" s="26" t="n">
        <f aca="false">C11/C6</f>
        <v>0.0651725560291489</v>
      </c>
      <c r="D12" s="26" t="n">
        <f aca="false">D11/D6</f>
        <v>0.0892418392418393</v>
      </c>
      <c r="E12" s="26" t="n">
        <f aca="false">E11/E6</f>
        <v>0.0987187565637471</v>
      </c>
      <c r="F12" s="26" t="n">
        <f aca="false">F11/F6</f>
        <v>0.0894262460482949</v>
      </c>
      <c r="G12" s="26" t="n">
        <f aca="false">G11/G6</f>
        <v>0.0894887801585963</v>
      </c>
      <c r="H12" s="26" t="n">
        <f aca="false">H11/H6</f>
        <v>0.0847149080033808</v>
      </c>
      <c r="I12" s="26" t="n">
        <f aca="false">I11/I6</f>
        <v>0.089059905479627</v>
      </c>
      <c r="J12" s="12" t="s">
        <v>273</v>
      </c>
    </row>
    <row r="13" customFormat="false" ht="15" hidden="false" customHeight="false" outlineLevel="0" collapsed="false">
      <c r="A13" s="7" t="s">
        <v>564</v>
      </c>
      <c r="B13" s="31" t="n">
        <v>1108</v>
      </c>
      <c r="C13" s="31" t="n">
        <v>961</v>
      </c>
      <c r="D13" s="31" t="n">
        <v>1508</v>
      </c>
      <c r="E13" s="31" t="n">
        <v>2122</v>
      </c>
      <c r="F13" s="31" t="n">
        <v>1889</v>
      </c>
      <c r="G13" s="31" t="n">
        <v>1735</v>
      </c>
      <c r="H13" s="31" t="n">
        <v>1856</v>
      </c>
      <c r="I13" s="31" t="n">
        <v>2006</v>
      </c>
      <c r="J13" s="12" t="s">
        <v>558</v>
      </c>
    </row>
    <row r="15" customFormat="false" ht="15" hidden="false" customHeight="false" outlineLevel="0" collapsed="false">
      <c r="A15" s="3" t="s">
        <v>643</v>
      </c>
    </row>
    <row r="16" customFormat="false" ht="30" hidden="false" customHeight="true" outlineLevel="0" collapsed="false">
      <c r="A16" s="5" t="s">
        <v>644</v>
      </c>
      <c r="B16" s="5" t="s">
        <v>645</v>
      </c>
      <c r="C16" s="5" t="s">
        <v>646</v>
      </c>
      <c r="D16" s="5" t="s">
        <v>647</v>
      </c>
      <c r="E16" s="5" t="s">
        <v>648</v>
      </c>
      <c r="F16" s="5"/>
      <c r="G16" s="5"/>
      <c r="H16" s="5"/>
      <c r="I16" s="5"/>
      <c r="J16" s="5" t="s">
        <v>164</v>
      </c>
    </row>
    <row r="17" customFormat="false" ht="15" hidden="false" customHeight="false" outlineLevel="0" collapsed="false">
      <c r="A17" s="7" t="s">
        <v>649</v>
      </c>
      <c r="B17" s="17" t="n">
        <v>0.24</v>
      </c>
      <c r="C17" s="17" t="n">
        <v>0.03</v>
      </c>
      <c r="D17" s="17" t="n">
        <v>0.15</v>
      </c>
      <c r="E17" s="43" t="n">
        <f aca="false">B17*$E$25</f>
        <v>2002.32</v>
      </c>
      <c r="F17" s="6"/>
      <c r="G17" s="6"/>
      <c r="H17" s="6"/>
      <c r="I17" s="6"/>
      <c r="J17" s="12" t="s">
        <v>650</v>
      </c>
    </row>
    <row r="18" customFormat="false" ht="15" hidden="false" customHeight="false" outlineLevel="0" collapsed="false">
      <c r="A18" s="7" t="s">
        <v>651</v>
      </c>
      <c r="B18" s="17" t="n">
        <v>0.2</v>
      </c>
      <c r="C18" s="17" t="n">
        <v>-0.01</v>
      </c>
      <c r="D18" s="17" t="n">
        <v>0.02</v>
      </c>
      <c r="E18" s="43" t="n">
        <f aca="false">B18*$E$25</f>
        <v>1668.6</v>
      </c>
      <c r="F18" s="6"/>
      <c r="G18" s="6"/>
      <c r="H18" s="6"/>
      <c r="I18" s="6"/>
      <c r="J18" s="12" t="s">
        <v>650</v>
      </c>
    </row>
    <row r="19" customFormat="false" ht="15" hidden="false" customHeight="false" outlineLevel="0" collapsed="false">
      <c r="A19" s="7" t="s">
        <v>652</v>
      </c>
      <c r="B19" s="17" t="n">
        <v>0.16</v>
      </c>
      <c r="C19" s="17" t="n">
        <v>0.15</v>
      </c>
      <c r="D19" s="17" t="n">
        <v>0.2</v>
      </c>
      <c r="E19" s="43" t="n">
        <f aca="false">B19*$E$25</f>
        <v>1334.88</v>
      </c>
      <c r="F19" s="6"/>
      <c r="G19" s="6"/>
      <c r="H19" s="6"/>
      <c r="I19" s="6"/>
      <c r="J19" s="12" t="s">
        <v>650</v>
      </c>
    </row>
    <row r="20" customFormat="false" ht="15" hidden="false" customHeight="false" outlineLevel="0" collapsed="false">
      <c r="A20" s="7" t="s">
        <v>653</v>
      </c>
      <c r="B20" s="17" t="n">
        <v>0.14</v>
      </c>
      <c r="C20" s="17" t="n">
        <v>0</v>
      </c>
      <c r="D20" s="17" t="n">
        <v>-0.02</v>
      </c>
      <c r="E20" s="43" t="n">
        <f aca="false">B20*$E$25</f>
        <v>1168.02</v>
      </c>
      <c r="F20" s="6"/>
      <c r="G20" s="6"/>
      <c r="H20" s="6"/>
      <c r="I20" s="6"/>
      <c r="J20" s="12" t="s">
        <v>650</v>
      </c>
    </row>
    <row r="21" customFormat="false" ht="15" hidden="false" customHeight="false" outlineLevel="0" collapsed="false">
      <c r="A21" s="7" t="s">
        <v>654</v>
      </c>
      <c r="B21" s="17" t="n">
        <v>0.13</v>
      </c>
      <c r="C21" s="17" t="n">
        <v>0.11</v>
      </c>
      <c r="D21" s="17" t="n">
        <v>0.01</v>
      </c>
      <c r="E21" s="43" t="n">
        <f aca="false">B21*$E$25</f>
        <v>1084.59</v>
      </c>
      <c r="F21" s="6"/>
      <c r="G21" s="6"/>
      <c r="H21" s="6"/>
      <c r="I21" s="6"/>
      <c r="J21" s="12" t="s">
        <v>650</v>
      </c>
    </row>
    <row r="22" customFormat="false" ht="15" hidden="false" customHeight="false" outlineLevel="0" collapsed="false">
      <c r="A22" s="7" t="s">
        <v>655</v>
      </c>
      <c r="B22" s="17" t="n">
        <v>0.07</v>
      </c>
      <c r="C22" s="17" t="n">
        <v>0.18</v>
      </c>
      <c r="D22" s="17" t="n">
        <v>0.06</v>
      </c>
      <c r="E22" s="43" t="n">
        <f aca="false">B22*$E$25</f>
        <v>584.01</v>
      </c>
      <c r="F22" s="6"/>
      <c r="G22" s="6"/>
      <c r="H22" s="6"/>
      <c r="I22" s="6"/>
      <c r="J22" s="12" t="s">
        <v>650</v>
      </c>
    </row>
    <row r="23" customFormat="false" ht="15" hidden="false" customHeight="false" outlineLevel="0" collapsed="false">
      <c r="A23" s="7" t="s">
        <v>656</v>
      </c>
      <c r="B23" s="17" t="n">
        <v>0.04</v>
      </c>
      <c r="C23" s="17" t="n">
        <v>0.05</v>
      </c>
      <c r="D23" s="17" t="n">
        <v>0.02</v>
      </c>
      <c r="E23" s="43" t="n">
        <f aca="false">B23*$E$25</f>
        <v>333.72</v>
      </c>
      <c r="F23" s="6"/>
      <c r="G23" s="6"/>
      <c r="H23" s="6"/>
      <c r="I23" s="6"/>
      <c r="J23" s="12" t="s">
        <v>650</v>
      </c>
    </row>
    <row r="24" customFormat="false" ht="15" hidden="false" customHeight="false" outlineLevel="0" collapsed="false">
      <c r="A24" s="7" t="s">
        <v>657</v>
      </c>
      <c r="B24" s="17" t="n">
        <v>0.02</v>
      </c>
      <c r="C24" s="17" t="n">
        <v>-0.13</v>
      </c>
      <c r="D24" s="17" t="n">
        <v>0.05</v>
      </c>
      <c r="E24" s="43" t="n">
        <f aca="false">B24*$E$25</f>
        <v>166.86</v>
      </c>
      <c r="F24" s="6"/>
      <c r="G24" s="6"/>
      <c r="H24" s="6"/>
      <c r="I24" s="6"/>
      <c r="J24" s="12" t="s">
        <v>650</v>
      </c>
    </row>
    <row r="25" customFormat="false" ht="22.35" hidden="false" customHeight="false" outlineLevel="0" collapsed="false">
      <c r="A25" s="19" t="s">
        <v>658</v>
      </c>
      <c r="B25" s="30" t="n">
        <f aca="false">SUM(B17:B24)</f>
        <v>1</v>
      </c>
      <c r="C25" s="44" t="n">
        <v>0.05</v>
      </c>
      <c r="D25" s="44" t="n">
        <v>0.068</v>
      </c>
      <c r="E25" s="45" t="n">
        <v>8343</v>
      </c>
      <c r="F25" s="33"/>
      <c r="G25" s="33"/>
      <c r="H25" s="33"/>
      <c r="I25" s="33"/>
      <c r="J25" s="24" t="s">
        <v>659</v>
      </c>
    </row>
    <row r="26" customFormat="false" ht="15" hidden="false" customHeight="false" outlineLevel="0" collapsed="false">
      <c r="A26" s="7" t="s">
        <v>660</v>
      </c>
      <c r="B26" s="6"/>
      <c r="C26" s="17" t="n">
        <v>-0.019</v>
      </c>
      <c r="D26" s="6"/>
      <c r="E26" s="31" t="n">
        <v>408</v>
      </c>
      <c r="F26" s="6"/>
      <c r="G26" s="6"/>
      <c r="H26" s="6"/>
      <c r="I26" s="6"/>
      <c r="J26" s="12" t="s">
        <v>661</v>
      </c>
    </row>
    <row r="27" customFormat="false" ht="15" hidden="false" customHeight="false" outlineLevel="0" collapsed="false">
      <c r="A27" s="19" t="s">
        <v>662</v>
      </c>
      <c r="B27" s="33"/>
      <c r="C27" s="44" t="n">
        <v>0.046</v>
      </c>
      <c r="D27" s="33"/>
      <c r="E27" s="45" t="n">
        <v>8751</v>
      </c>
      <c r="F27" s="33"/>
      <c r="G27" s="33"/>
      <c r="H27" s="33"/>
      <c r="I27" s="33"/>
      <c r="J27" s="24" t="s">
        <v>663</v>
      </c>
    </row>
    <row r="29" customFormat="false" ht="15" hidden="false" customHeight="false" outlineLevel="0" collapsed="false">
      <c r="A29" s="3" t="s">
        <v>664</v>
      </c>
    </row>
    <row r="30" customFormat="false" ht="30" hidden="false" customHeight="true" outlineLevel="0" collapsed="false">
      <c r="A30" s="5" t="s">
        <v>269</v>
      </c>
      <c r="B30" s="5" t="s">
        <v>76</v>
      </c>
      <c r="C30" s="5" t="s">
        <v>77</v>
      </c>
      <c r="D30" s="5"/>
      <c r="E30" s="5"/>
      <c r="F30" s="5"/>
      <c r="G30" s="5"/>
      <c r="H30" s="5"/>
      <c r="I30" s="5"/>
      <c r="J30" s="5" t="s">
        <v>78</v>
      </c>
    </row>
    <row r="31" customFormat="false" ht="15" hidden="false" customHeight="false" outlineLevel="0" collapsed="false">
      <c r="A31" s="7" t="s">
        <v>665</v>
      </c>
      <c r="B31" s="31" t="n">
        <v>31316</v>
      </c>
      <c r="C31" s="6" t="s">
        <v>548</v>
      </c>
      <c r="D31" s="6"/>
      <c r="E31" s="6"/>
      <c r="F31" s="6"/>
      <c r="G31" s="6"/>
      <c r="H31" s="6"/>
      <c r="I31" s="6"/>
      <c r="J31" s="12" t="s">
        <v>666</v>
      </c>
    </row>
    <row r="32" customFormat="false" ht="15" hidden="false" customHeight="false" outlineLevel="0" collapsed="false">
      <c r="A32" s="7" t="s">
        <v>667</v>
      </c>
      <c r="B32" s="27" t="n">
        <f aca="false">E26*4</f>
        <v>1632</v>
      </c>
      <c r="C32" s="6" t="s">
        <v>548</v>
      </c>
      <c r="D32" s="6"/>
      <c r="E32" s="6"/>
      <c r="F32" s="6"/>
      <c r="G32" s="6"/>
      <c r="H32" s="6"/>
      <c r="I32" s="6"/>
      <c r="J32" s="12" t="s">
        <v>668</v>
      </c>
    </row>
    <row r="33" customFormat="false" ht="15" hidden="false" customHeight="false" outlineLevel="0" collapsed="false">
      <c r="A33" s="7" t="s">
        <v>669</v>
      </c>
      <c r="B33" s="27" t="n">
        <f aca="false">B31-B32</f>
        <v>29684</v>
      </c>
      <c r="C33" s="6" t="s">
        <v>548</v>
      </c>
      <c r="D33" s="6"/>
      <c r="E33" s="6"/>
      <c r="F33" s="6"/>
      <c r="G33" s="6"/>
      <c r="H33" s="6"/>
      <c r="I33" s="6"/>
      <c r="J33" s="12" t="s">
        <v>273</v>
      </c>
    </row>
    <row r="34" customFormat="false" ht="32.8" hidden="false" customHeight="false" outlineLevel="0" collapsed="false">
      <c r="A34" s="7" t="s">
        <v>670</v>
      </c>
      <c r="B34" s="17" t="n">
        <v>0.22</v>
      </c>
      <c r="C34" s="6" t="s">
        <v>93</v>
      </c>
      <c r="D34" s="6"/>
      <c r="E34" s="6"/>
      <c r="F34" s="6"/>
      <c r="G34" s="6"/>
      <c r="H34" s="6"/>
      <c r="I34" s="6"/>
      <c r="J34" s="12" t="s">
        <v>671</v>
      </c>
    </row>
    <row r="35" customFormat="false" ht="15" hidden="false" customHeight="false" outlineLevel="0" collapsed="false">
      <c r="A35" s="7" t="s">
        <v>672</v>
      </c>
      <c r="B35" s="17" t="n">
        <v>0.24</v>
      </c>
      <c r="C35" s="6" t="s">
        <v>93</v>
      </c>
      <c r="D35" s="6"/>
      <c r="E35" s="6"/>
      <c r="F35" s="6"/>
      <c r="G35" s="6"/>
      <c r="H35" s="6"/>
      <c r="I35" s="6"/>
      <c r="J35" s="12" t="s">
        <v>666</v>
      </c>
    </row>
    <row r="36" customFormat="false" ht="15" hidden="false" customHeight="false" outlineLevel="0" collapsed="false">
      <c r="A36" s="19" t="s">
        <v>673</v>
      </c>
      <c r="B36" s="37" t="n">
        <f aca="false">B33*B34</f>
        <v>6530.48</v>
      </c>
      <c r="C36" s="33" t="s">
        <v>548</v>
      </c>
      <c r="D36" s="33"/>
      <c r="E36" s="33"/>
      <c r="F36" s="33"/>
      <c r="G36" s="33"/>
      <c r="H36" s="33"/>
      <c r="I36" s="33"/>
      <c r="J36" s="24" t="s">
        <v>273</v>
      </c>
    </row>
    <row r="37" customFormat="false" ht="15" hidden="false" customHeight="false" outlineLevel="0" collapsed="false">
      <c r="A37" s="19" t="s">
        <v>674</v>
      </c>
      <c r="B37" s="37" t="n">
        <f aca="false">B33*B35</f>
        <v>7124.16</v>
      </c>
      <c r="C37" s="33" t="s">
        <v>548</v>
      </c>
      <c r="D37" s="33"/>
      <c r="E37" s="33"/>
      <c r="F37" s="33"/>
      <c r="G37" s="33"/>
      <c r="H37" s="33"/>
      <c r="I37" s="33"/>
      <c r="J37" s="24" t="s">
        <v>273</v>
      </c>
    </row>
    <row r="38" customFormat="false" ht="15" hidden="false" customHeight="false" outlineLevel="0" collapsed="false">
      <c r="A38" s="6" t="s">
        <v>675</v>
      </c>
      <c r="B38" s="16" t="n">
        <f aca="false">B37/B31</f>
        <v>0.22749265551156</v>
      </c>
      <c r="C38" s="6" t="s">
        <v>93</v>
      </c>
      <c r="D38" s="6"/>
      <c r="E38" s="6"/>
      <c r="F38" s="6"/>
      <c r="G38" s="6"/>
      <c r="H38" s="6"/>
      <c r="I38" s="6"/>
      <c r="J38" s="12" t="s">
        <v>273</v>
      </c>
    </row>
    <row r="40" customFormat="false" ht="15" hidden="false" customHeight="false" outlineLevel="0" collapsed="false">
      <c r="A40" s="3" t="s">
        <v>676</v>
      </c>
    </row>
    <row r="41" customFormat="false" ht="30" hidden="false" customHeight="true" outlineLevel="0" collapsed="false">
      <c r="A41" s="5" t="s">
        <v>235</v>
      </c>
      <c r="B41" s="5" t="s">
        <v>76</v>
      </c>
      <c r="C41" s="5" t="s">
        <v>77</v>
      </c>
      <c r="D41" s="5"/>
      <c r="E41" s="5"/>
      <c r="F41" s="5"/>
      <c r="G41" s="5"/>
      <c r="H41" s="5"/>
      <c r="I41" s="5"/>
      <c r="J41" s="5" t="s">
        <v>139</v>
      </c>
    </row>
    <row r="42" customFormat="false" ht="32.8" hidden="false" customHeight="false" outlineLevel="0" collapsed="false">
      <c r="A42" s="7" t="s">
        <v>677</v>
      </c>
      <c r="B42" s="17" t="n">
        <v>0.07</v>
      </c>
      <c r="C42" s="6" t="s">
        <v>93</v>
      </c>
      <c r="D42" s="6"/>
      <c r="E42" s="6"/>
      <c r="F42" s="6"/>
      <c r="G42" s="6"/>
      <c r="H42" s="6"/>
      <c r="I42" s="6"/>
      <c r="J42" s="12" t="s">
        <v>678</v>
      </c>
    </row>
    <row r="43" customFormat="false" ht="15" hidden="false" customHeight="false" outlineLevel="0" collapsed="false">
      <c r="A43" s="7" t="s">
        <v>679</v>
      </c>
      <c r="B43" s="17" t="n">
        <v>0.15</v>
      </c>
      <c r="C43" s="6" t="s">
        <v>93</v>
      </c>
      <c r="D43" s="6"/>
      <c r="E43" s="6"/>
      <c r="F43" s="6"/>
      <c r="G43" s="6"/>
      <c r="H43" s="6"/>
      <c r="I43" s="6"/>
      <c r="J43" s="12" t="s">
        <v>680</v>
      </c>
    </row>
    <row r="44" customFormat="false" ht="22.35" hidden="false" customHeight="false" outlineLevel="0" collapsed="false">
      <c r="A44" s="7" t="s">
        <v>681</v>
      </c>
      <c r="B44" s="31" t="n">
        <v>1600</v>
      </c>
      <c r="C44" s="6" t="s">
        <v>548</v>
      </c>
      <c r="D44" s="6"/>
      <c r="E44" s="6"/>
      <c r="F44" s="6"/>
      <c r="G44" s="6"/>
      <c r="H44" s="6"/>
      <c r="I44" s="6"/>
      <c r="J44" s="12" t="s">
        <v>682</v>
      </c>
    </row>
    <row r="45" customFormat="false" ht="22.35" hidden="false" customHeight="false" outlineLevel="0" collapsed="false">
      <c r="A45" s="7" t="s">
        <v>683</v>
      </c>
      <c r="B45" s="31" t="n">
        <v>45</v>
      </c>
      <c r="C45" s="6" t="s">
        <v>548</v>
      </c>
      <c r="D45" s="6"/>
      <c r="E45" s="6"/>
      <c r="F45" s="6"/>
      <c r="G45" s="6"/>
      <c r="H45" s="6"/>
      <c r="I45" s="6"/>
      <c r="J45" s="12" t="s">
        <v>684</v>
      </c>
    </row>
    <row r="46" customFormat="false" ht="22.35" hidden="false" customHeight="false" outlineLevel="0" collapsed="false">
      <c r="A46" s="7" t="s">
        <v>685</v>
      </c>
      <c r="B46" s="18" t="n">
        <v>1.3</v>
      </c>
      <c r="C46" s="6" t="s">
        <v>686</v>
      </c>
      <c r="D46" s="6"/>
      <c r="E46" s="6"/>
      <c r="F46" s="6"/>
      <c r="G46" s="6"/>
      <c r="H46" s="6"/>
      <c r="I46" s="6"/>
      <c r="J46" s="12" t="s">
        <v>687</v>
      </c>
    </row>
    <row r="47" customFormat="false" ht="15" hidden="false" customHeight="false" outlineLevel="0" collapsed="false">
      <c r="A47" s="7" t="s">
        <v>688</v>
      </c>
      <c r="B47" s="17" t="n">
        <v>0.095</v>
      </c>
      <c r="C47" s="6" t="s">
        <v>93</v>
      </c>
      <c r="D47" s="6"/>
      <c r="E47" s="6"/>
      <c r="F47" s="6"/>
      <c r="G47" s="6"/>
      <c r="H47" s="6"/>
      <c r="I47" s="6"/>
      <c r="J47" s="12" t="s">
        <v>689</v>
      </c>
    </row>
    <row r="48" customFormat="false" ht="15" hidden="false" customHeight="false" outlineLevel="0" collapsed="false">
      <c r="A48" s="7" t="s">
        <v>690</v>
      </c>
      <c r="B48" s="17" t="n">
        <v>0.098</v>
      </c>
      <c r="C48" s="6" t="s">
        <v>93</v>
      </c>
      <c r="D48" s="6"/>
      <c r="E48" s="6"/>
      <c r="F48" s="6"/>
      <c r="G48" s="6"/>
      <c r="H48" s="6"/>
      <c r="I48" s="6"/>
      <c r="J48"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FA5"/>
    <pageSetUpPr fitToPage="fals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3" min="2" style="0" width="20"/>
    <col collapsed="false" customWidth="true" hidden="false" outlineLevel="0" max="4" min="4" style="0" width="50"/>
  </cols>
  <sheetData>
    <row r="1" customFormat="false" ht="21.75" hidden="false" customHeight="true" outlineLevel="0" collapsed="false">
      <c r="A1" s="1" t="s">
        <v>691</v>
      </c>
    </row>
    <row r="2" customFormat="false" ht="15" hidden="false" customHeight="false" outlineLevel="0" collapsed="false">
      <c r="A2" s="2" t="s">
        <v>692</v>
      </c>
    </row>
    <row r="4" customFormat="false" ht="15" hidden="false" customHeight="false" outlineLevel="0" collapsed="false">
      <c r="A4" s="3" t="s">
        <v>693</v>
      </c>
    </row>
    <row r="5" customFormat="false" ht="30" hidden="false" customHeight="true" outlineLevel="0" collapsed="false">
      <c r="A5" s="5" t="s">
        <v>138</v>
      </c>
      <c r="B5" s="5" t="s">
        <v>694</v>
      </c>
      <c r="C5" s="5" t="s">
        <v>31</v>
      </c>
      <c r="D5" s="5" t="s">
        <v>139</v>
      </c>
    </row>
    <row r="6" customFormat="false" ht="15" hidden="false" customHeight="false" outlineLevel="0" collapsed="false">
      <c r="A6" s="7" t="s">
        <v>695</v>
      </c>
      <c r="B6" s="46" t="n">
        <f aca="false">'Core and Main'!F6</f>
        <v>7647</v>
      </c>
      <c r="C6" s="46" t="n">
        <f aca="false">Ferguson!I6</f>
        <v>31316</v>
      </c>
      <c r="D6" s="12" t="s">
        <v>696</v>
      </c>
    </row>
    <row r="7" customFormat="false" ht="15" hidden="false" customHeight="false" outlineLevel="0" collapsed="false">
      <c r="A7" s="7" t="s">
        <v>697</v>
      </c>
      <c r="B7" s="46" t="n">
        <f aca="false">'Core and Main'!F6</f>
        <v>7647</v>
      </c>
      <c r="C7" s="46" t="n">
        <f aca="false">Ferguson!B37</f>
        <v>7124.16</v>
      </c>
      <c r="D7" s="12" t="s">
        <v>698</v>
      </c>
    </row>
    <row r="8" customFormat="false" ht="15" hidden="false" customHeight="false" outlineLevel="0" collapsed="false">
      <c r="A8" s="6" t="s">
        <v>675</v>
      </c>
      <c r="B8" s="16" t="n">
        <f aca="false">B7/B6</f>
        <v>1</v>
      </c>
      <c r="C8" s="16" t="n">
        <f aca="false">C7/C6</f>
        <v>0.22749265551156</v>
      </c>
      <c r="D8" s="12" t="s">
        <v>273</v>
      </c>
    </row>
    <row r="9" customFormat="false" ht="15" hidden="false" customHeight="false" outlineLevel="0" collapsed="false">
      <c r="A9" s="7" t="s">
        <v>699</v>
      </c>
      <c r="B9" s="46" t="n">
        <f aca="false">'Core and Main'!C19</f>
        <v>3364.68</v>
      </c>
      <c r="C9" s="6" t="s">
        <v>700</v>
      </c>
      <c r="D9" s="12" t="s">
        <v>701</v>
      </c>
    </row>
    <row r="10" customFormat="false" ht="15" hidden="false" customHeight="false" outlineLevel="0" collapsed="false">
      <c r="A10" s="6" t="s">
        <v>675</v>
      </c>
      <c r="B10" s="16" t="n">
        <f aca="false">B9/B6</f>
        <v>0.44</v>
      </c>
      <c r="C10" s="6" t="s">
        <v>700</v>
      </c>
      <c r="D10" s="12" t="s">
        <v>273</v>
      </c>
    </row>
    <row r="11" customFormat="false" ht="22.35" hidden="false" customHeight="false" outlineLevel="0" collapsed="false">
      <c r="A11" s="7" t="s">
        <v>702</v>
      </c>
      <c r="B11" s="17" t="n">
        <v>0.122</v>
      </c>
      <c r="C11" s="17" t="n">
        <v>0.107</v>
      </c>
      <c r="D11" s="12" t="s">
        <v>703</v>
      </c>
    </row>
    <row r="12" customFormat="false" ht="15" hidden="false" customHeight="false" outlineLevel="0" collapsed="false">
      <c r="A12" s="7" t="s">
        <v>704</v>
      </c>
      <c r="B12" s="17" t="n">
        <v>0.5</v>
      </c>
      <c r="C12" s="6" t="s">
        <v>700</v>
      </c>
      <c r="D12" s="12" t="s">
        <v>705</v>
      </c>
    </row>
    <row r="14" customFormat="false" ht="15" hidden="false" customHeight="false" outlineLevel="0" collapsed="false">
      <c r="A14" s="3" t="s">
        <v>706</v>
      </c>
    </row>
    <row r="15" customFormat="false" ht="30" hidden="false" customHeight="true" outlineLevel="0" collapsed="false">
      <c r="A15" s="5" t="s">
        <v>138</v>
      </c>
      <c r="B15" s="5" t="s">
        <v>76</v>
      </c>
      <c r="C15" s="5"/>
      <c r="D15" s="5" t="s">
        <v>78</v>
      </c>
    </row>
    <row r="16" customFormat="false" ht="15" hidden="false" customHeight="false" outlineLevel="0" collapsed="false">
      <c r="A16" s="7" t="s">
        <v>707</v>
      </c>
      <c r="B16" s="27" t="n">
        <f aca="false">B7+C7</f>
        <v>14771.16</v>
      </c>
      <c r="C16" s="6"/>
      <c r="D16" s="12" t="s">
        <v>273</v>
      </c>
    </row>
    <row r="17" customFormat="false" ht="15" hidden="false" customHeight="false" outlineLevel="0" collapsed="false">
      <c r="A17" s="7" t="s">
        <v>708</v>
      </c>
      <c r="B17" s="46" t="n">
        <f aca="false">'Core and Main'!B30*1000</f>
        <v>39000</v>
      </c>
      <c r="C17" s="6"/>
      <c r="D17" s="12" t="s">
        <v>586</v>
      </c>
    </row>
    <row r="18" customFormat="false" ht="22.35" hidden="false" customHeight="false" outlineLevel="0" collapsed="false">
      <c r="A18" s="19" t="s">
        <v>709</v>
      </c>
      <c r="B18" s="30" t="n">
        <f aca="false">B16/B17</f>
        <v>0.378747692307692</v>
      </c>
      <c r="C18" s="33"/>
      <c r="D18" s="24" t="s">
        <v>710</v>
      </c>
    </row>
    <row r="20" customFormat="false" ht="15" hidden="false" customHeight="false" outlineLevel="0" collapsed="false">
      <c r="A20" s="3" t="s">
        <v>711</v>
      </c>
    </row>
    <row r="21" customFormat="false" ht="30" hidden="false" customHeight="true" outlineLevel="0" collapsed="false">
      <c r="A21" s="5" t="s">
        <v>138</v>
      </c>
      <c r="B21" s="5" t="s">
        <v>694</v>
      </c>
      <c r="C21" s="5" t="s">
        <v>31</v>
      </c>
      <c r="D21" s="5" t="s">
        <v>139</v>
      </c>
    </row>
    <row r="22" customFormat="false" ht="15" hidden="false" customHeight="false" outlineLevel="0" collapsed="false">
      <c r="A22" s="7" t="s">
        <v>712</v>
      </c>
      <c r="B22" s="43" t="n">
        <f aca="false">B9</f>
        <v>3364.68</v>
      </c>
      <c r="C22" s="43" t="n">
        <f aca="false">C7</f>
        <v>7124.16</v>
      </c>
      <c r="D22" s="12" t="s">
        <v>713</v>
      </c>
    </row>
    <row r="23" customFormat="false" ht="15" hidden="false" customHeight="false" outlineLevel="0" collapsed="false">
      <c r="A23" s="7" t="s">
        <v>714</v>
      </c>
      <c r="B23" s="13" t="n">
        <v>0.01</v>
      </c>
      <c r="C23" s="13" t="n">
        <v>0.01</v>
      </c>
      <c r="D23" s="12" t="s">
        <v>715</v>
      </c>
    </row>
    <row r="24" customFormat="false" ht="15" hidden="false" customHeight="false" outlineLevel="0" collapsed="false">
      <c r="A24" s="7" t="s">
        <v>716</v>
      </c>
      <c r="B24" s="27" t="n">
        <f aca="false">B22*B23</f>
        <v>33.6468</v>
      </c>
      <c r="C24" s="27" t="n">
        <f aca="false">C22*C23</f>
        <v>71.2416</v>
      </c>
      <c r="D24" s="12" t="s">
        <v>273</v>
      </c>
    </row>
    <row r="25" customFormat="false" ht="22.35" hidden="false" customHeight="false" outlineLevel="0" collapsed="false">
      <c r="A25" s="19" t="s">
        <v>675</v>
      </c>
      <c r="B25" s="30" t="n">
        <f aca="false">B24/B6</f>
        <v>0.0044</v>
      </c>
      <c r="C25" s="30" t="n">
        <f aca="false">C24/C6</f>
        <v>0.0022749265551156</v>
      </c>
      <c r="D25" s="24" t="s">
        <v>717</v>
      </c>
    </row>
    <row r="26" customFormat="false" ht="15" hidden="false" customHeight="false" outlineLevel="0" collapsed="false">
      <c r="A26" s="7" t="s">
        <v>718</v>
      </c>
      <c r="B26" s="27" t="n">
        <f aca="false">B24*B11</f>
        <v>4.1049096</v>
      </c>
      <c r="C26" s="27" t="n">
        <f aca="false">C24*C11</f>
        <v>7.6228512</v>
      </c>
      <c r="D26" s="12" t="s">
        <v>719</v>
      </c>
    </row>
    <row r="28" customFormat="false" ht="30" hidden="false" customHeight="true" outlineLevel="0" collapsed="false">
      <c r="A28" s="5" t="s">
        <v>720</v>
      </c>
      <c r="B28" s="5" t="s">
        <v>694</v>
      </c>
      <c r="C28" s="5" t="s">
        <v>31</v>
      </c>
      <c r="D28" s="5" t="s">
        <v>139</v>
      </c>
    </row>
    <row r="29" customFormat="false" ht="15" hidden="false" customHeight="false" outlineLevel="0" collapsed="false">
      <c r="A29" s="7" t="s">
        <v>721</v>
      </c>
      <c r="B29" s="17" t="n">
        <v>0.0125</v>
      </c>
      <c r="C29" s="17" t="n">
        <v>0.0125</v>
      </c>
      <c r="D29" s="12" t="s">
        <v>722</v>
      </c>
    </row>
    <row r="30" customFormat="false" ht="15" hidden="false" customHeight="false" outlineLevel="0" collapsed="false">
      <c r="A30" s="19" t="s">
        <v>723</v>
      </c>
      <c r="B30" s="30" t="n">
        <f aca="false">B22*B29/B6</f>
        <v>0.0055</v>
      </c>
      <c r="C30" s="30" t="n">
        <f aca="false">C22*C29/C6</f>
        <v>0.0028436581938945</v>
      </c>
      <c r="D30" s="24" t="s">
        <v>724</v>
      </c>
    </row>
    <row r="32" customFormat="false" ht="43.25" hidden="false" customHeight="false" outlineLevel="0" collapsed="false">
      <c r="A32" s="4" t="s">
        <v>725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B52"/>
    <pageSetUpPr fitToPage="false"/>
  </sheetPr>
  <dimension ref="A1:D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12"/>
    <col collapsed="false" customWidth="true" hidden="false" outlineLevel="0" max="4" min="4" style="0" width="60"/>
  </cols>
  <sheetData>
    <row r="1" customFormat="false" ht="21.75" hidden="false" customHeight="true" outlineLevel="0" collapsed="false">
      <c r="A1" s="1" t="s">
        <v>7</v>
      </c>
    </row>
    <row r="2" customFormat="false" ht="15" hidden="false" customHeight="false" outlineLevel="0" collapsed="false">
      <c r="A2" s="2" t="s">
        <v>726</v>
      </c>
    </row>
    <row r="4" customFormat="false" ht="15" hidden="false" customHeight="false" outlineLevel="0" collapsed="false">
      <c r="A4" s="3" t="s">
        <v>727</v>
      </c>
    </row>
    <row r="5" customFormat="false" ht="30" hidden="false" customHeight="true" outlineLevel="0" collapsed="false">
      <c r="A5" s="5" t="s">
        <v>138</v>
      </c>
      <c r="B5" s="5" t="s">
        <v>76</v>
      </c>
      <c r="C5" s="5" t="s">
        <v>77</v>
      </c>
      <c r="D5" s="5" t="s">
        <v>728</v>
      </c>
    </row>
    <row r="6" customFormat="false" ht="15" hidden="false" customHeight="false" outlineLevel="0" collapsed="false">
      <c r="A6" s="7" t="s">
        <v>175</v>
      </c>
      <c r="B6" s="47" t="n">
        <f aca="false">'Historical Spending'!B10</f>
        <v>114</v>
      </c>
      <c r="C6" s="6" t="s">
        <v>93</v>
      </c>
      <c r="D6" s="12" t="s">
        <v>729</v>
      </c>
    </row>
    <row r="7" customFormat="false" ht="15" hidden="false" customHeight="false" outlineLevel="0" collapsed="false">
      <c r="A7" s="7" t="s">
        <v>730</v>
      </c>
      <c r="B7" s="46" t="n">
        <f aca="false">'Historical Spending'!B7</f>
        <v>0.023</v>
      </c>
      <c r="C7" s="6" t="s">
        <v>80</v>
      </c>
      <c r="D7" s="12" t="s">
        <v>731</v>
      </c>
    </row>
    <row r="8" customFormat="false" ht="15" hidden="false" customHeight="false" outlineLevel="0" collapsed="false">
      <c r="A8" s="7" t="s">
        <v>171</v>
      </c>
      <c r="B8" s="46" t="n">
        <f aca="false">'Historical Spending'!B8</f>
        <v>175</v>
      </c>
      <c r="C8" s="6" t="s">
        <v>80</v>
      </c>
      <c r="D8" s="12" t="s">
        <v>732</v>
      </c>
    </row>
    <row r="9" customFormat="false" ht="15" hidden="false" customHeight="false" outlineLevel="0" collapsed="false">
      <c r="A9" s="7" t="s">
        <v>733</v>
      </c>
      <c r="B9" s="47" t="n">
        <f aca="false">'Historical Spending'!B44</f>
        <v>6.4</v>
      </c>
      <c r="C9" s="6" t="s">
        <v>93</v>
      </c>
      <c r="D9" s="12" t="s">
        <v>734</v>
      </c>
    </row>
    <row r="11" customFormat="false" ht="15" hidden="false" customHeight="false" outlineLevel="0" collapsed="false">
      <c r="A11" s="3" t="s">
        <v>735</v>
      </c>
    </row>
    <row r="12" customFormat="false" ht="30" hidden="false" customHeight="true" outlineLevel="0" collapsed="false">
      <c r="A12" s="5" t="s">
        <v>138</v>
      </c>
      <c r="B12" s="5" t="s">
        <v>76</v>
      </c>
      <c r="C12" s="5" t="s">
        <v>77</v>
      </c>
      <c r="D12" s="5" t="s">
        <v>728</v>
      </c>
    </row>
    <row r="13" customFormat="false" ht="15" hidden="false" customHeight="false" outlineLevel="0" collapsed="false">
      <c r="A13" s="7" t="s">
        <v>736</v>
      </c>
      <c r="B13" s="23" t="n">
        <f aca="false">Assumptions!B6</f>
        <v>68</v>
      </c>
      <c r="C13" s="6" t="s">
        <v>80</v>
      </c>
      <c r="D13" s="12" t="s">
        <v>737</v>
      </c>
    </row>
    <row r="14" customFormat="false" ht="15" hidden="false" customHeight="false" outlineLevel="0" collapsed="false">
      <c r="A14" s="7" t="s">
        <v>738</v>
      </c>
      <c r="B14" s="23" t="n">
        <f aca="false">'Forward Model'!G9</f>
        <v>82.3912648425</v>
      </c>
      <c r="C14" s="6" t="s">
        <v>80</v>
      </c>
      <c r="D14" s="12"/>
    </row>
    <row r="15" customFormat="false" ht="15" hidden="false" customHeight="false" outlineLevel="0" collapsed="false">
      <c r="A15" s="7" t="s">
        <v>739</v>
      </c>
      <c r="B15" s="23" t="n">
        <f aca="false">'Forward Model'!L9</f>
        <v>97.3544695481693</v>
      </c>
      <c r="C15" s="6" t="s">
        <v>80</v>
      </c>
      <c r="D15" s="12"/>
    </row>
    <row r="16" customFormat="false" ht="15" hidden="false" customHeight="false" outlineLevel="0" collapsed="false">
      <c r="A16" s="7" t="s">
        <v>142</v>
      </c>
      <c r="B16" s="47" t="n">
        <f aca="false">('Forward Model'!L9/'Forward Model'!C9)^(1/9)-1</f>
        <v>0.0406778986328729</v>
      </c>
      <c r="C16" s="6" t="s">
        <v>93</v>
      </c>
      <c r="D16" s="12" t="s">
        <v>740</v>
      </c>
    </row>
    <row r="17" customFormat="false" ht="15" hidden="false" customHeight="false" outlineLevel="0" collapsed="false">
      <c r="A17" s="7" t="s">
        <v>741</v>
      </c>
      <c r="B17" s="47" t="n">
        <f aca="false">Assumptions!B11</f>
        <v>0.0985294117647059</v>
      </c>
      <c r="C17" s="6" t="s">
        <v>93</v>
      </c>
      <c r="D17" s="12" t="s">
        <v>742</v>
      </c>
    </row>
    <row r="18" customFormat="false" ht="15" hidden="false" customHeight="false" outlineLevel="0" collapsed="false">
      <c r="A18" s="7" t="s">
        <v>743</v>
      </c>
      <c r="B18" s="23" t="n">
        <f aca="false">Scenarios!L5</f>
        <v>81.2245765003887</v>
      </c>
      <c r="C18" s="6" t="s">
        <v>80</v>
      </c>
      <c r="D18" s="12"/>
    </row>
    <row r="19" customFormat="false" ht="15" hidden="false" customHeight="false" outlineLevel="0" collapsed="false">
      <c r="A19" s="7" t="s">
        <v>744</v>
      </c>
      <c r="B19" s="23" t="n">
        <f aca="false">Scenarios!L7</f>
        <v>109.398410585824</v>
      </c>
      <c r="C19" s="6" t="s">
        <v>80</v>
      </c>
      <c r="D19" s="12" t="s">
        <v>745</v>
      </c>
    </row>
    <row r="21" customFormat="false" ht="15" hidden="false" customHeight="false" outlineLevel="0" collapsed="false">
      <c r="A21" s="3" t="s">
        <v>746</v>
      </c>
    </row>
    <row r="22" customFormat="false" ht="30" hidden="false" customHeight="true" outlineLevel="0" collapsed="false">
      <c r="A22" s="5" t="s">
        <v>138</v>
      </c>
      <c r="B22" s="5" t="s">
        <v>76</v>
      </c>
      <c r="C22" s="5" t="s">
        <v>77</v>
      </c>
      <c r="D22" s="5" t="s">
        <v>728</v>
      </c>
    </row>
    <row r="23" customFormat="false" ht="15" hidden="false" customHeight="false" outlineLevel="0" collapsed="false">
      <c r="A23" s="7" t="s">
        <v>423</v>
      </c>
      <c r="B23" s="48" t="n">
        <f aca="false">'Pipe and Assets'!B24</f>
        <v>9.86206896551724</v>
      </c>
      <c r="C23" s="6" t="s">
        <v>686</v>
      </c>
      <c r="D23" s="12" t="s">
        <v>424</v>
      </c>
    </row>
    <row r="24" customFormat="false" ht="15" hidden="false" customHeight="false" outlineLevel="0" collapsed="false">
      <c r="A24" s="7" t="s">
        <v>747</v>
      </c>
      <c r="B24" s="47" t="n">
        <f aca="false">'Pipe and Assets'!B23</f>
        <v>-0.207142857142857</v>
      </c>
      <c r="C24" s="6" t="s">
        <v>93</v>
      </c>
      <c r="D24" s="12" t="s">
        <v>748</v>
      </c>
    </row>
    <row r="25" customFormat="false" ht="15" hidden="false" customHeight="false" outlineLevel="0" collapsed="false">
      <c r="A25" s="7" t="s">
        <v>130</v>
      </c>
      <c r="B25" s="46" t="str">
        <f aca="false">Regulatory!B5</f>
        <v>Value</v>
      </c>
      <c r="C25" s="6" t="s">
        <v>388</v>
      </c>
      <c r="D25" s="12" t="s">
        <v>749</v>
      </c>
    </row>
    <row r="26" customFormat="false" ht="15" hidden="false" customHeight="false" outlineLevel="0" collapsed="false">
      <c r="A26" s="7" t="s">
        <v>750</v>
      </c>
      <c r="B26" s="23" t="n">
        <f aca="false">Regulatory!B11</f>
        <v>15</v>
      </c>
      <c r="C26" s="6" t="s">
        <v>80</v>
      </c>
      <c r="D26" s="12" t="s">
        <v>751</v>
      </c>
    </row>
    <row r="28" customFormat="false" ht="15" hidden="false" customHeight="false" outlineLevel="0" collapsed="false">
      <c r="A28" s="3" t="s">
        <v>752</v>
      </c>
    </row>
    <row r="29" customFormat="false" ht="30" hidden="false" customHeight="true" outlineLevel="0" collapsed="false">
      <c r="A29" s="5" t="s">
        <v>138</v>
      </c>
      <c r="B29" s="5" t="s">
        <v>76</v>
      </c>
      <c r="C29" s="5" t="s">
        <v>77</v>
      </c>
      <c r="D29" s="5" t="s">
        <v>728</v>
      </c>
    </row>
    <row r="30" customFormat="false" ht="15" hidden="false" customHeight="false" outlineLevel="0" collapsed="false">
      <c r="A30" s="7" t="s">
        <v>753</v>
      </c>
      <c r="B30" s="46" t="n">
        <f aca="false">Comparison!B6</f>
        <v>7647</v>
      </c>
      <c r="C30" s="6" t="s">
        <v>548</v>
      </c>
      <c r="D30" s="12" t="s">
        <v>754</v>
      </c>
    </row>
    <row r="31" customFormat="false" ht="15" hidden="false" customHeight="false" outlineLevel="0" collapsed="false">
      <c r="A31" s="7" t="s">
        <v>755</v>
      </c>
      <c r="B31" s="46" t="n">
        <f aca="false">Comparison!C6</f>
        <v>31316</v>
      </c>
      <c r="C31" s="6" t="s">
        <v>548</v>
      </c>
      <c r="D31" s="12" t="s">
        <v>756</v>
      </c>
    </row>
    <row r="32" customFormat="false" ht="15" hidden="false" customHeight="false" outlineLevel="0" collapsed="false">
      <c r="A32" s="7" t="s">
        <v>709</v>
      </c>
      <c r="B32" s="47" t="n">
        <f aca="false">Comparison!B18</f>
        <v>0.378747692307692</v>
      </c>
      <c r="C32" s="6" t="s">
        <v>93</v>
      </c>
      <c r="D32" s="12" t="s">
        <v>757</v>
      </c>
    </row>
    <row r="33" customFormat="false" ht="15" hidden="false" customHeight="false" outlineLevel="0" collapsed="false">
      <c r="A33" s="7" t="s">
        <v>758</v>
      </c>
      <c r="B33" s="47" t="n">
        <f aca="false">Comparison!B25</f>
        <v>0.0044</v>
      </c>
      <c r="C33" s="6" t="s">
        <v>759</v>
      </c>
      <c r="D33" s="12" t="s">
        <v>760</v>
      </c>
    </row>
    <row r="34" customFormat="false" ht="15" hidden="false" customHeight="false" outlineLevel="0" collapsed="false">
      <c r="A34" s="7" t="s">
        <v>761</v>
      </c>
      <c r="B34" s="47" t="n">
        <f aca="false">Comparison!C25</f>
        <v>0.0022749265551156</v>
      </c>
      <c r="C34" s="6" t="s">
        <v>759</v>
      </c>
      <c r="D34" s="12"/>
    </row>
    <row r="36" customFormat="false" ht="64.15" hidden="false" customHeight="false" outlineLevel="0" collapsed="false">
      <c r="A36" s="4" t="s">
        <v>762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451C"/>
    <pageSetUpPr fitToPage="false"/>
  </sheetPr>
  <dimension ref="A1:E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4" min="3" style="0" width="16"/>
    <col collapsed="false" customWidth="true" hidden="false" outlineLevel="0" max="5" min="5" style="0" width="52"/>
  </cols>
  <sheetData>
    <row r="1" customFormat="false" ht="21.75" hidden="false" customHeight="true" outlineLevel="0" collapsed="false">
      <c r="A1" s="1" t="s">
        <v>763</v>
      </c>
    </row>
    <row r="2" customFormat="false" ht="15" hidden="false" customHeight="false" outlineLevel="0" collapsed="false">
      <c r="A2" s="2" t="s">
        <v>764</v>
      </c>
    </row>
    <row r="4" customFormat="false" ht="15" hidden="false" customHeight="false" outlineLevel="0" collapsed="false">
      <c r="A4" s="3" t="s">
        <v>765</v>
      </c>
    </row>
    <row r="5" customFormat="false" ht="30" hidden="false" customHeight="true" outlineLevel="0" collapsed="false">
      <c r="A5" s="5" t="s">
        <v>766</v>
      </c>
      <c r="B5" s="5" t="s">
        <v>767</v>
      </c>
      <c r="C5" s="5" t="s">
        <v>768</v>
      </c>
      <c r="D5" s="5" t="s">
        <v>769</v>
      </c>
      <c r="E5" s="5" t="s">
        <v>139</v>
      </c>
    </row>
    <row r="6" customFormat="false" ht="32.8" hidden="false" customHeight="false" outlineLevel="0" collapsed="false">
      <c r="A6" s="7" t="s">
        <v>770</v>
      </c>
      <c r="B6" s="7" t="s">
        <v>771</v>
      </c>
      <c r="C6" s="6" t="s">
        <v>772</v>
      </c>
      <c r="D6" s="7" t="s">
        <v>773</v>
      </c>
      <c r="E6" s="12" t="s">
        <v>774</v>
      </c>
    </row>
    <row r="7" customFormat="false" ht="32.8" hidden="false" customHeight="false" outlineLevel="0" collapsed="false">
      <c r="A7" s="19" t="s">
        <v>775</v>
      </c>
      <c r="B7" s="19" t="s">
        <v>776</v>
      </c>
      <c r="C7" s="33" t="s">
        <v>777</v>
      </c>
      <c r="D7" s="19" t="s">
        <v>778</v>
      </c>
      <c r="E7" s="24" t="s">
        <v>779</v>
      </c>
    </row>
    <row r="8" customFormat="false" ht="43.25" hidden="false" customHeight="false" outlineLevel="0" collapsed="false">
      <c r="A8" s="4" t="s">
        <v>780</v>
      </c>
    </row>
    <row r="11" customFormat="false" ht="15" hidden="false" customHeight="false" outlineLevel="0" collapsed="false">
      <c r="A11" s="3" t="s">
        <v>781</v>
      </c>
    </row>
    <row r="12" customFormat="false" ht="30" hidden="false" customHeight="true" outlineLevel="0" collapsed="false">
      <c r="A12" s="5" t="s">
        <v>782</v>
      </c>
      <c r="B12" s="5" t="s">
        <v>783</v>
      </c>
      <c r="C12" s="5" t="s">
        <v>768</v>
      </c>
      <c r="D12" s="5" t="s">
        <v>784</v>
      </c>
      <c r="E12" s="5" t="s">
        <v>785</v>
      </c>
    </row>
    <row r="13" customFormat="false" ht="32.8" hidden="false" customHeight="false" outlineLevel="0" collapsed="false">
      <c r="A13" s="7" t="s">
        <v>786</v>
      </c>
      <c r="B13" s="6" t="s">
        <v>787</v>
      </c>
      <c r="C13" s="6" t="s">
        <v>788</v>
      </c>
      <c r="D13" s="6" t="s">
        <v>789</v>
      </c>
      <c r="E13" s="12" t="s">
        <v>790</v>
      </c>
    </row>
    <row r="14" customFormat="false" ht="22.35" hidden="false" customHeight="false" outlineLevel="0" collapsed="false">
      <c r="A14" s="7" t="s">
        <v>791</v>
      </c>
      <c r="B14" s="6" t="s">
        <v>792</v>
      </c>
      <c r="C14" s="6" t="s">
        <v>793</v>
      </c>
      <c r="D14" s="6" t="s">
        <v>789</v>
      </c>
      <c r="E14" s="12" t="s">
        <v>794</v>
      </c>
    </row>
    <row r="15" customFormat="false" ht="32.8" hidden="false" customHeight="false" outlineLevel="0" collapsed="false">
      <c r="A15" s="7" t="s">
        <v>795</v>
      </c>
      <c r="B15" s="6" t="s">
        <v>796</v>
      </c>
      <c r="C15" s="6" t="s">
        <v>797</v>
      </c>
      <c r="D15" s="6" t="s">
        <v>789</v>
      </c>
      <c r="E15" s="12" t="s">
        <v>798</v>
      </c>
    </row>
    <row r="16" customFormat="false" ht="35.05" hidden="false" customHeight="false" outlineLevel="0" collapsed="false">
      <c r="A16" s="7" t="s">
        <v>799</v>
      </c>
      <c r="B16" s="6" t="s">
        <v>800</v>
      </c>
      <c r="C16" s="6" t="s">
        <v>801</v>
      </c>
      <c r="D16" s="6" t="s">
        <v>789</v>
      </c>
      <c r="E16" s="12" t="s">
        <v>802</v>
      </c>
    </row>
    <row r="18" customFormat="false" ht="15" hidden="false" customHeight="false" outlineLevel="0" collapsed="false">
      <c r="A18" s="3" t="s">
        <v>803</v>
      </c>
    </row>
    <row r="19" customFormat="false" ht="30" hidden="false" customHeight="true" outlineLevel="0" collapsed="false">
      <c r="A19" s="5" t="s">
        <v>782</v>
      </c>
      <c r="B19" s="5" t="s">
        <v>783</v>
      </c>
      <c r="C19" s="5" t="s">
        <v>768</v>
      </c>
      <c r="D19" s="5" t="s">
        <v>784</v>
      </c>
      <c r="E19" s="5" t="s">
        <v>785</v>
      </c>
    </row>
    <row r="20" customFormat="false" ht="35.05" hidden="false" customHeight="false" outlineLevel="0" collapsed="false">
      <c r="A20" s="7" t="s">
        <v>804</v>
      </c>
      <c r="B20" s="6" t="s">
        <v>805</v>
      </c>
      <c r="C20" s="6" t="s">
        <v>806</v>
      </c>
      <c r="D20" s="6" t="s">
        <v>789</v>
      </c>
      <c r="E20" s="12" t="s">
        <v>807</v>
      </c>
    </row>
    <row r="21" customFormat="false" ht="35.05" hidden="false" customHeight="false" outlineLevel="0" collapsed="false">
      <c r="A21" s="7" t="s">
        <v>808</v>
      </c>
      <c r="B21" s="6" t="s">
        <v>809</v>
      </c>
      <c r="C21" s="6" t="s">
        <v>806</v>
      </c>
      <c r="D21" s="6" t="s">
        <v>789</v>
      </c>
      <c r="E21" s="12" t="s">
        <v>810</v>
      </c>
    </row>
    <row r="22" customFormat="false" ht="32.8" hidden="false" customHeight="false" outlineLevel="0" collapsed="false">
      <c r="A22" s="7" t="s">
        <v>811</v>
      </c>
      <c r="B22" s="6" t="s">
        <v>812</v>
      </c>
      <c r="C22" s="6" t="s">
        <v>813</v>
      </c>
      <c r="D22" s="6" t="s">
        <v>789</v>
      </c>
      <c r="E22" s="12" t="s">
        <v>814</v>
      </c>
    </row>
    <row r="23" customFormat="false" ht="23.85" hidden="false" customHeight="false" outlineLevel="0" collapsed="false">
      <c r="A23" s="7" t="s">
        <v>815</v>
      </c>
      <c r="B23" s="6" t="s">
        <v>816</v>
      </c>
      <c r="C23" s="6" t="s">
        <v>817</v>
      </c>
      <c r="D23" s="6" t="s">
        <v>789</v>
      </c>
      <c r="E23" s="12" t="s">
        <v>818</v>
      </c>
    </row>
    <row r="24" customFormat="false" ht="23.85" hidden="false" customHeight="false" outlineLevel="0" collapsed="false">
      <c r="A24" s="7" t="s">
        <v>530</v>
      </c>
      <c r="B24" s="6" t="s">
        <v>819</v>
      </c>
      <c r="C24" s="6" t="s">
        <v>820</v>
      </c>
      <c r="D24" s="6" t="s">
        <v>789</v>
      </c>
      <c r="E24" s="12" t="s">
        <v>821</v>
      </c>
    </row>
    <row r="26" customFormat="false" ht="15" hidden="false" customHeight="false" outlineLevel="0" collapsed="false">
      <c r="A26" s="3" t="s">
        <v>822</v>
      </c>
    </row>
    <row r="27" customFormat="false" ht="30" hidden="false" customHeight="true" outlineLevel="0" collapsed="false">
      <c r="A27" s="5" t="s">
        <v>164</v>
      </c>
      <c r="B27" s="5" t="s">
        <v>823</v>
      </c>
      <c r="C27" s="5" t="s">
        <v>824</v>
      </c>
      <c r="D27" s="5"/>
      <c r="E27" s="5" t="s">
        <v>825</v>
      </c>
    </row>
    <row r="28" customFormat="false" ht="23.85" hidden="false" customHeight="false" outlineLevel="0" collapsed="false">
      <c r="A28" s="7" t="s">
        <v>826</v>
      </c>
      <c r="B28" s="6" t="s">
        <v>827</v>
      </c>
      <c r="C28" s="6" t="s">
        <v>828</v>
      </c>
      <c r="D28" s="6"/>
      <c r="E28" s="12" t="s">
        <v>829</v>
      </c>
    </row>
    <row r="29" customFormat="false" ht="23.85" hidden="false" customHeight="false" outlineLevel="0" collapsed="false">
      <c r="A29" s="7" t="s">
        <v>830</v>
      </c>
      <c r="B29" s="6" t="s">
        <v>831</v>
      </c>
      <c r="C29" s="6" t="s">
        <v>832</v>
      </c>
      <c r="D29" s="6"/>
      <c r="E29" s="12" t="s">
        <v>833</v>
      </c>
    </row>
    <row r="30" customFormat="false" ht="23.85" hidden="false" customHeight="false" outlineLevel="0" collapsed="false">
      <c r="A30" s="7" t="s">
        <v>477</v>
      </c>
      <c r="B30" s="6" t="s">
        <v>834</v>
      </c>
      <c r="C30" s="6" t="s">
        <v>835</v>
      </c>
      <c r="D30" s="6"/>
      <c r="E30" s="12" t="s">
        <v>836</v>
      </c>
    </row>
    <row r="31" customFormat="false" ht="23.85" hidden="false" customHeight="false" outlineLevel="0" collapsed="false">
      <c r="A31" s="7" t="s">
        <v>837</v>
      </c>
      <c r="B31" s="6" t="s">
        <v>838</v>
      </c>
      <c r="C31" s="6" t="s">
        <v>835</v>
      </c>
      <c r="D31" s="6"/>
      <c r="E31" s="12" t="s">
        <v>839</v>
      </c>
    </row>
    <row r="33" customFormat="false" ht="15" hidden="false" customHeight="false" outlineLevel="0" collapsed="false">
      <c r="A33" s="3" t="s">
        <v>840</v>
      </c>
    </row>
    <row r="34" customFormat="false" ht="30" hidden="false" customHeight="true" outlineLevel="0" collapsed="false">
      <c r="A34" s="5" t="s">
        <v>235</v>
      </c>
      <c r="B34" s="5" t="s">
        <v>841</v>
      </c>
      <c r="C34" s="5"/>
      <c r="D34" s="5"/>
      <c r="E34" s="5" t="s">
        <v>139</v>
      </c>
    </row>
    <row r="35" customFormat="false" ht="23.85" hidden="false" customHeight="false" outlineLevel="0" collapsed="false">
      <c r="A35" s="7" t="s">
        <v>842</v>
      </c>
      <c r="B35" s="7" t="s">
        <v>843</v>
      </c>
      <c r="C35" s="6"/>
      <c r="D35" s="6"/>
      <c r="E35" s="12" t="s">
        <v>844</v>
      </c>
    </row>
    <row r="36" customFormat="false" ht="15" hidden="false" customHeight="false" outlineLevel="0" collapsed="false">
      <c r="A36" s="7" t="s">
        <v>845</v>
      </c>
      <c r="B36" s="7" t="s">
        <v>843</v>
      </c>
      <c r="C36" s="6"/>
      <c r="D36" s="6"/>
      <c r="E36" s="12" t="s">
        <v>846</v>
      </c>
    </row>
    <row r="37" customFormat="false" ht="32.8" hidden="false" customHeight="false" outlineLevel="0" collapsed="false">
      <c r="A37" s="7" t="s">
        <v>847</v>
      </c>
      <c r="B37" s="7" t="s">
        <v>848</v>
      </c>
      <c r="C37" s="6"/>
      <c r="D37" s="6"/>
      <c r="E37" s="12" t="s">
        <v>849</v>
      </c>
    </row>
    <row r="38" customFormat="false" ht="15" hidden="false" customHeight="false" outlineLevel="0" collapsed="false">
      <c r="A38" s="7" t="s">
        <v>850</v>
      </c>
      <c r="B38" s="7" t="s">
        <v>851</v>
      </c>
      <c r="C38" s="6"/>
      <c r="D38" s="6"/>
      <c r="E38" s="12" t="s">
        <v>852</v>
      </c>
    </row>
    <row r="40" customFormat="false" ht="15" hidden="false" customHeight="false" outlineLevel="0" collapsed="false">
      <c r="A40" s="3" t="s">
        <v>853</v>
      </c>
    </row>
    <row r="41" customFormat="false" ht="30" hidden="false" customHeight="true" outlineLevel="0" collapsed="false">
      <c r="A41" s="5" t="s">
        <v>269</v>
      </c>
      <c r="B41" s="5" t="s">
        <v>854</v>
      </c>
      <c r="C41" s="5"/>
      <c r="D41" s="5"/>
      <c r="E41" s="5" t="s">
        <v>855</v>
      </c>
    </row>
    <row r="42" customFormat="false" ht="23.85" hidden="false" customHeight="false" outlineLevel="0" collapsed="false">
      <c r="A42" s="7" t="s">
        <v>856</v>
      </c>
      <c r="B42" s="6" t="s">
        <v>857</v>
      </c>
      <c r="C42" s="6"/>
      <c r="D42" s="6"/>
      <c r="E42" s="12" t="s">
        <v>858</v>
      </c>
    </row>
    <row r="43" customFormat="false" ht="23.85" hidden="false" customHeight="false" outlineLevel="0" collapsed="false">
      <c r="A43" s="7" t="s">
        <v>859</v>
      </c>
      <c r="B43" s="6" t="s">
        <v>860</v>
      </c>
      <c r="C43" s="6"/>
      <c r="D43" s="6"/>
      <c r="E43" s="12" t="s">
        <v>861</v>
      </c>
    </row>
    <row r="44" customFormat="false" ht="15" hidden="false" customHeight="false" outlineLevel="0" collapsed="false">
      <c r="A44" s="7" t="s">
        <v>862</v>
      </c>
      <c r="B44" s="6" t="s">
        <v>863</v>
      </c>
      <c r="C44" s="6"/>
      <c r="D44" s="6"/>
      <c r="E44" s="12" t="s">
        <v>864</v>
      </c>
    </row>
    <row r="45" customFormat="false" ht="23.85" hidden="false" customHeight="false" outlineLevel="0" collapsed="false">
      <c r="A45" s="7" t="s">
        <v>865</v>
      </c>
      <c r="B45" s="6" t="s">
        <v>866</v>
      </c>
      <c r="C45" s="6"/>
      <c r="D45" s="6"/>
      <c r="E45" s="12" t="s">
        <v>867</v>
      </c>
    </row>
    <row r="46" customFormat="false" ht="23.85" hidden="false" customHeight="false" outlineLevel="0" collapsed="false">
      <c r="A46" s="7" t="s">
        <v>868</v>
      </c>
      <c r="B46" s="6" t="s">
        <v>869</v>
      </c>
      <c r="C46" s="6"/>
      <c r="D46" s="6"/>
      <c r="E46" s="12" t="s">
        <v>870</v>
      </c>
    </row>
    <row r="48" customFormat="false" ht="116.4" hidden="false" customHeight="false" outlineLevel="0" collapsed="false">
      <c r="A48" s="4" t="s">
        <v>871</v>
      </c>
    </row>
    <row r="50" customFormat="false" ht="85.05" hidden="false" customHeight="false" outlineLevel="0" collapsed="false">
      <c r="A50" s="4" t="s">
        <v>872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724A"/>
    <pageSetUpPr fitToPage="false"/>
  </sheetPr>
  <dimension ref="A1:K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10" min="2" style="0" width="13"/>
    <col collapsed="false" customWidth="true" hidden="false" outlineLevel="0" max="11" min="11" style="0" width="40"/>
  </cols>
  <sheetData>
    <row r="1" customFormat="false" ht="21.75" hidden="false" customHeight="true" outlineLevel="0" collapsed="false">
      <c r="A1" s="1" t="s">
        <v>873</v>
      </c>
    </row>
    <row r="2" customFormat="false" ht="15" hidden="false" customHeight="false" outlineLevel="0" collapsed="false">
      <c r="A2" s="2" t="s">
        <v>874</v>
      </c>
    </row>
    <row r="4" customFormat="false" ht="15" hidden="false" customHeight="false" outlineLevel="0" collapsed="false">
      <c r="A4" s="3" t="s">
        <v>875</v>
      </c>
    </row>
    <row r="5" customFormat="false" ht="30" hidden="false" customHeight="true" outlineLevel="0" collapsed="false">
      <c r="A5" s="5" t="s">
        <v>548</v>
      </c>
      <c r="B5" s="5" t="s">
        <v>237</v>
      </c>
      <c r="C5" s="5" t="s">
        <v>876</v>
      </c>
      <c r="D5" s="5" t="s">
        <v>877</v>
      </c>
      <c r="E5" s="5" t="s">
        <v>878</v>
      </c>
      <c r="F5" s="5" t="s">
        <v>245</v>
      </c>
      <c r="G5" s="5"/>
      <c r="H5" s="5"/>
      <c r="I5" s="5"/>
      <c r="J5" s="5"/>
      <c r="K5" s="5" t="s">
        <v>164</v>
      </c>
    </row>
    <row r="6" customFormat="false" ht="15" hidden="false" customHeight="false" outlineLevel="0" collapsed="false">
      <c r="A6" s="7" t="s">
        <v>879</v>
      </c>
      <c r="B6" s="12" t="s">
        <v>880</v>
      </c>
      <c r="C6" s="12" t="s">
        <v>881</v>
      </c>
      <c r="D6" s="12" t="s">
        <v>882</v>
      </c>
      <c r="E6" s="12" t="s">
        <v>883</v>
      </c>
      <c r="F6" s="12" t="s">
        <v>884</v>
      </c>
      <c r="G6" s="12"/>
      <c r="H6" s="12"/>
      <c r="I6" s="12"/>
      <c r="J6" s="12"/>
      <c r="K6" s="12" t="s">
        <v>885</v>
      </c>
    </row>
    <row r="7" customFormat="false" ht="15" hidden="false" customHeight="false" outlineLevel="0" collapsed="false">
      <c r="A7" s="7" t="s">
        <v>554</v>
      </c>
      <c r="B7" s="31" t="n">
        <v>5004</v>
      </c>
      <c r="C7" s="31" t="n">
        <v>6651</v>
      </c>
      <c r="D7" s="31" t="n">
        <v>6702</v>
      </c>
      <c r="E7" s="31" t="n">
        <v>7441</v>
      </c>
      <c r="F7" s="31" t="n">
        <v>7647</v>
      </c>
      <c r="G7" s="31"/>
      <c r="H7" s="31"/>
      <c r="I7" s="31"/>
      <c r="J7" s="31"/>
      <c r="K7" s="49" t="s">
        <v>886</v>
      </c>
    </row>
    <row r="8" customFormat="false" ht="15" hidden="false" customHeight="false" outlineLevel="0" collapsed="false">
      <c r="A8" s="6" t="s">
        <v>556</v>
      </c>
      <c r="B8" s="26"/>
      <c r="C8" s="26" t="n">
        <f aca="false">C7/B7-1</f>
        <v>0.329136690647482</v>
      </c>
      <c r="D8" s="26" t="n">
        <f aca="false">D7/C7-1</f>
        <v>0.00766801984663967</v>
      </c>
      <c r="E8" s="26" t="n">
        <f aca="false">E7/D7-1</f>
        <v>0.110265592360489</v>
      </c>
      <c r="F8" s="26" t="n">
        <f aca="false">F7/E7-1</f>
        <v>0.0276844510146486</v>
      </c>
      <c r="G8" s="26"/>
      <c r="H8" s="26"/>
      <c r="I8" s="26"/>
      <c r="J8" s="26"/>
      <c r="K8" s="12" t="s">
        <v>273</v>
      </c>
    </row>
    <row r="9" customFormat="false" ht="15" hidden="false" customHeight="false" outlineLevel="0" collapsed="false">
      <c r="A9" s="7" t="s">
        <v>557</v>
      </c>
      <c r="B9" s="31" t="n">
        <v>1280</v>
      </c>
      <c r="C9" s="31" t="n">
        <v>1795</v>
      </c>
      <c r="D9" s="31" t="n">
        <v>1818</v>
      </c>
      <c r="E9" s="31" t="n">
        <v>1980</v>
      </c>
      <c r="F9" s="31" t="n">
        <v>2059</v>
      </c>
      <c r="G9" s="31"/>
      <c r="H9" s="31"/>
      <c r="I9" s="31"/>
      <c r="J9" s="31"/>
      <c r="K9" s="6"/>
    </row>
    <row r="10" customFormat="false" ht="15" hidden="false" customHeight="false" outlineLevel="0" collapsed="false">
      <c r="A10" s="6" t="s">
        <v>559</v>
      </c>
      <c r="B10" s="26" t="n">
        <f aca="false">B9/B7</f>
        <v>0.255795363709033</v>
      </c>
      <c r="C10" s="26" t="n">
        <f aca="false">C9/C7</f>
        <v>0.269884227935649</v>
      </c>
      <c r="D10" s="26" t="n">
        <f aca="false">D9/D7</f>
        <v>0.271262309758281</v>
      </c>
      <c r="E10" s="26" t="n">
        <f aca="false">E9/E7</f>
        <v>0.266093267034001</v>
      </c>
      <c r="F10" s="26" t="n">
        <f aca="false">F9/F7</f>
        <v>0.26925591735321</v>
      </c>
      <c r="G10" s="26"/>
      <c r="H10" s="26"/>
      <c r="I10" s="26"/>
      <c r="J10" s="26"/>
      <c r="K10" s="12" t="s">
        <v>273</v>
      </c>
    </row>
    <row r="11" customFormat="false" ht="15" hidden="false" customHeight="false" outlineLevel="0" collapsed="false">
      <c r="A11" s="7" t="s">
        <v>560</v>
      </c>
      <c r="B11" s="31" t="n">
        <v>604</v>
      </c>
      <c r="C11" s="31" t="n">
        <v>918</v>
      </c>
      <c r="D11" s="31" t="n">
        <v>889</v>
      </c>
      <c r="E11" s="31" t="n">
        <v>905</v>
      </c>
      <c r="F11" s="31" t="n">
        <v>913</v>
      </c>
      <c r="G11" s="31"/>
      <c r="H11" s="31"/>
      <c r="I11" s="31"/>
      <c r="J11" s="31"/>
      <c r="K11" s="12" t="s">
        <v>887</v>
      </c>
    </row>
    <row r="12" customFormat="false" ht="15" hidden="false" customHeight="false" outlineLevel="0" collapsed="false">
      <c r="A12" s="6" t="s">
        <v>562</v>
      </c>
      <c r="B12" s="26" t="n">
        <f aca="false">B11/B7</f>
        <v>0.1207034372502</v>
      </c>
      <c r="C12" s="26" t="n">
        <f aca="false">C11/C7</f>
        <v>0.138024357239513</v>
      </c>
      <c r="D12" s="26" t="n">
        <f aca="false">D11/D7</f>
        <v>0.132646971053417</v>
      </c>
      <c r="E12" s="26" t="n">
        <f aca="false">E11/E7</f>
        <v>0.121623437709985</v>
      </c>
      <c r="F12" s="26" t="n">
        <f aca="false">F11/F7</f>
        <v>0.119393226101739</v>
      </c>
      <c r="G12" s="26"/>
      <c r="H12" s="26"/>
      <c r="I12" s="26"/>
      <c r="J12" s="26"/>
      <c r="K12" s="12" t="s">
        <v>273</v>
      </c>
    </row>
    <row r="13" customFormat="false" ht="15" hidden="false" customHeight="false" outlineLevel="0" collapsed="false">
      <c r="A13" s="7" t="s">
        <v>563</v>
      </c>
      <c r="B13" s="31" t="n">
        <v>425</v>
      </c>
      <c r="C13" s="31" t="n">
        <v>775</v>
      </c>
      <c r="D13" s="31" t="n">
        <v>740</v>
      </c>
      <c r="E13" s="31" t="n">
        <v>719</v>
      </c>
      <c r="F13" s="31" t="n">
        <v>722</v>
      </c>
      <c r="G13" s="31"/>
      <c r="H13" s="31"/>
      <c r="I13" s="31"/>
      <c r="J13" s="31"/>
      <c r="K13" s="6"/>
    </row>
    <row r="14" customFormat="false" ht="15" hidden="false" customHeight="false" outlineLevel="0" collapsed="false">
      <c r="A14" s="7" t="s">
        <v>564</v>
      </c>
      <c r="B14" s="31" t="n">
        <v>225</v>
      </c>
      <c r="C14" s="31" t="n">
        <v>366</v>
      </c>
      <c r="D14" s="31" t="n">
        <v>371</v>
      </c>
      <c r="E14" s="31" t="n">
        <v>434</v>
      </c>
      <c r="F14" s="31" t="n">
        <v>462</v>
      </c>
      <c r="G14" s="31"/>
      <c r="H14" s="31"/>
      <c r="I14" s="31"/>
      <c r="J14" s="31"/>
      <c r="K14" s="6"/>
    </row>
    <row r="15" customFormat="false" ht="15" hidden="false" customHeight="false" outlineLevel="0" collapsed="false">
      <c r="A15" s="7" t="s">
        <v>565</v>
      </c>
      <c r="B15" s="42" t="n">
        <v>0.55</v>
      </c>
      <c r="C15" s="42" t="n">
        <v>2.13</v>
      </c>
      <c r="D15" s="42" t="n">
        <v>2.15</v>
      </c>
      <c r="E15" s="42" t="n">
        <v>2.13</v>
      </c>
      <c r="F15" s="42" t="n">
        <v>2.31</v>
      </c>
      <c r="G15" s="42"/>
      <c r="H15" s="42"/>
      <c r="I15" s="42"/>
      <c r="J15" s="42"/>
      <c r="K15" s="6"/>
    </row>
    <row r="16" customFormat="false" ht="15" hidden="false" customHeight="false" outlineLevel="0" collapsed="false">
      <c r="A16" s="7" t="s">
        <v>888</v>
      </c>
      <c r="B16" s="31" t="n">
        <v>-31</v>
      </c>
      <c r="C16" s="31" t="n">
        <v>401</v>
      </c>
      <c r="D16" s="31" t="n">
        <v>1069</v>
      </c>
      <c r="E16" s="31" t="n">
        <v>621</v>
      </c>
      <c r="F16" s="31" t="n">
        <v>650</v>
      </c>
      <c r="G16" s="31"/>
      <c r="H16" s="31"/>
      <c r="I16" s="31"/>
      <c r="J16" s="31"/>
      <c r="K16" s="6"/>
    </row>
    <row r="17" customFormat="false" ht="15" hidden="false" customHeight="false" outlineLevel="0" collapsed="false">
      <c r="A17" s="7" t="s">
        <v>889</v>
      </c>
      <c r="B17" s="31" t="n">
        <v>20</v>
      </c>
      <c r="C17" s="31" t="n">
        <v>25</v>
      </c>
      <c r="D17" s="31" t="n">
        <v>39</v>
      </c>
      <c r="E17" s="31" t="n">
        <v>35</v>
      </c>
      <c r="F17" s="31" t="n">
        <v>46</v>
      </c>
      <c r="G17" s="31"/>
      <c r="H17" s="31"/>
      <c r="I17" s="31"/>
      <c r="J17" s="31"/>
      <c r="K17" s="12" t="s">
        <v>890</v>
      </c>
    </row>
    <row r="18" customFormat="false" ht="22.35" hidden="false" customHeight="false" outlineLevel="0" collapsed="false">
      <c r="A18" s="7" t="s">
        <v>891</v>
      </c>
      <c r="B18" s="27" t="n">
        <f aca="false">B16-B17</f>
        <v>-51</v>
      </c>
      <c r="C18" s="27" t="n">
        <f aca="false">C16-C17</f>
        <v>376</v>
      </c>
      <c r="D18" s="27" t="n">
        <f aca="false">D16-D17</f>
        <v>1030</v>
      </c>
      <c r="E18" s="27" t="n">
        <f aca="false">E16-E17</f>
        <v>586</v>
      </c>
      <c r="F18" s="27" t="n">
        <f aca="false">F16-F17</f>
        <v>604</v>
      </c>
      <c r="G18" s="27"/>
      <c r="H18" s="27"/>
      <c r="I18" s="27"/>
      <c r="J18" s="27"/>
      <c r="K18" s="12" t="s">
        <v>892</v>
      </c>
    </row>
    <row r="19" customFormat="false" ht="15" hidden="false" customHeight="false" outlineLevel="0" collapsed="false">
      <c r="A19" s="6" t="s">
        <v>893</v>
      </c>
      <c r="B19" s="26" t="n">
        <f aca="false">IF(B11=0,0,B18/B11)</f>
        <v>-0.0844370860927152</v>
      </c>
      <c r="C19" s="26" t="n">
        <f aca="false">IF(C11=0,0,C18/C11)</f>
        <v>0.40958605664488</v>
      </c>
      <c r="D19" s="26" t="n">
        <f aca="false">IF(D11=0,0,D18/D11)</f>
        <v>1.15860517435321</v>
      </c>
      <c r="E19" s="26" t="n">
        <f aca="false">IF(E11=0,0,E18/E11)</f>
        <v>0.647513812154696</v>
      </c>
      <c r="F19" s="26" t="n">
        <f aca="false">IF(F11=0,0,F18/F11)</f>
        <v>0.661555312157722</v>
      </c>
      <c r="G19" s="26"/>
      <c r="H19" s="26"/>
      <c r="I19" s="26"/>
      <c r="J19" s="26"/>
      <c r="K19" s="12" t="s">
        <v>273</v>
      </c>
    </row>
    <row r="20" customFormat="false" ht="15" hidden="false" customHeight="false" outlineLevel="0" collapsed="false">
      <c r="A20" s="6" t="s">
        <v>894</v>
      </c>
      <c r="B20" s="26" t="n">
        <f aca="false">B17/B7</f>
        <v>0.00399680255795364</v>
      </c>
      <c r="C20" s="26" t="n">
        <f aca="false">C17/C7</f>
        <v>0.00375883325815667</v>
      </c>
      <c r="D20" s="26" t="n">
        <f aca="false">D17/D7</f>
        <v>0.00581915846016115</v>
      </c>
      <c r="E20" s="26" t="n">
        <f aca="false">E17/E7</f>
        <v>0.00470366886171214</v>
      </c>
      <c r="F20" s="26" t="n">
        <f aca="false">F17/F7</f>
        <v>0.00601543088792991</v>
      </c>
      <c r="G20" s="26"/>
      <c r="H20" s="26"/>
      <c r="I20" s="26"/>
      <c r="J20" s="26"/>
      <c r="K20" s="12" t="s">
        <v>895</v>
      </c>
    </row>
    <row r="22" customFormat="false" ht="32.8" hidden="false" customHeight="false" outlineLevel="0" collapsed="false">
      <c r="A22" s="4" t="s">
        <v>896</v>
      </c>
    </row>
    <row r="24" customFormat="false" ht="15" hidden="false" customHeight="false" outlineLevel="0" collapsed="false">
      <c r="A24" s="3" t="s">
        <v>897</v>
      </c>
    </row>
    <row r="25" customFormat="false" ht="30" hidden="false" customHeight="true" outlineLevel="0" collapsed="false">
      <c r="A25" s="5" t="s">
        <v>548</v>
      </c>
      <c r="B25" s="5" t="s">
        <v>898</v>
      </c>
      <c r="C25" s="5" t="s">
        <v>899</v>
      </c>
      <c r="D25" s="5" t="s">
        <v>900</v>
      </c>
      <c r="E25" s="5" t="s">
        <v>237</v>
      </c>
      <c r="F25" s="5" t="s">
        <v>876</v>
      </c>
      <c r="G25" s="5" t="s">
        <v>877</v>
      </c>
      <c r="H25" s="5" t="s">
        <v>878</v>
      </c>
      <c r="I25" s="5" t="s">
        <v>245</v>
      </c>
      <c r="J25" s="5" t="s">
        <v>901</v>
      </c>
      <c r="K25" s="5" t="s">
        <v>164</v>
      </c>
    </row>
    <row r="26" customFormat="false" ht="15" hidden="false" customHeight="false" outlineLevel="0" collapsed="false">
      <c r="A26" s="7" t="s">
        <v>879</v>
      </c>
      <c r="B26" s="12" t="s">
        <v>902</v>
      </c>
      <c r="C26" s="12" t="s">
        <v>903</v>
      </c>
      <c r="D26" s="12" t="s">
        <v>904</v>
      </c>
      <c r="E26" s="12" t="s">
        <v>905</v>
      </c>
      <c r="F26" s="12" t="s">
        <v>906</v>
      </c>
      <c r="G26" s="12" t="s">
        <v>907</v>
      </c>
      <c r="H26" s="12" t="s">
        <v>908</v>
      </c>
      <c r="I26" s="12" t="s">
        <v>909</v>
      </c>
      <c r="J26" s="12" t="s">
        <v>910</v>
      </c>
      <c r="K26" s="12" t="s">
        <v>885</v>
      </c>
    </row>
    <row r="27" customFormat="false" ht="15" hidden="false" customHeight="false" outlineLevel="0" collapsed="false">
      <c r="A27" s="7" t="s">
        <v>554</v>
      </c>
      <c r="B27" s="31" t="n">
        <v>20752</v>
      </c>
      <c r="C27" s="31" t="n">
        <v>22010</v>
      </c>
      <c r="D27" s="31" t="n">
        <v>21819</v>
      </c>
      <c r="E27" s="31" t="n">
        <v>22792</v>
      </c>
      <c r="F27" s="31" t="n">
        <v>28566</v>
      </c>
      <c r="G27" s="31" t="n">
        <v>29734</v>
      </c>
      <c r="H27" s="31" t="n">
        <v>29635</v>
      </c>
      <c r="I27" s="31" t="n">
        <v>30762</v>
      </c>
      <c r="J27" s="31" t="n">
        <v>31316</v>
      </c>
      <c r="K27" s="6"/>
    </row>
    <row r="28" customFormat="false" ht="22.35" hidden="false" customHeight="false" outlineLevel="0" collapsed="false">
      <c r="A28" s="6" t="s">
        <v>556</v>
      </c>
      <c r="B28" s="26"/>
      <c r="C28" s="26" t="n">
        <f aca="false">C27/B27-1</f>
        <v>0.0606206630686199</v>
      </c>
      <c r="D28" s="26" t="n">
        <f aca="false">D27/C27-1</f>
        <v>-0.0086778736937756</v>
      </c>
      <c r="E28" s="26" t="n">
        <f aca="false">E27/D27-1</f>
        <v>0.044594161052294</v>
      </c>
      <c r="F28" s="26" t="n">
        <f aca="false">F27/E27-1</f>
        <v>0.253334503334503</v>
      </c>
      <c r="G28" s="26" t="n">
        <f aca="false">G27/F27-1</f>
        <v>0.0408877686760485</v>
      </c>
      <c r="H28" s="26" t="n">
        <f aca="false">H27/G27-1</f>
        <v>-0.00332952175960177</v>
      </c>
      <c r="I28" s="26" t="n">
        <f aca="false">I27/H27-1</f>
        <v>0.0380293571790114</v>
      </c>
      <c r="J28" s="26" t="n">
        <f aca="false">J27/I27-1</f>
        <v>0.0180092321695597</v>
      </c>
      <c r="K28" s="12" t="s">
        <v>911</v>
      </c>
    </row>
    <row r="29" customFormat="false" ht="15" hidden="false" customHeight="false" outlineLevel="0" collapsed="false">
      <c r="A29" s="7" t="s">
        <v>557</v>
      </c>
      <c r="B29" s="31" t="n">
        <v>6044</v>
      </c>
      <c r="C29" s="31" t="n">
        <v>6458</v>
      </c>
      <c r="D29" s="31" t="n">
        <v>6421</v>
      </c>
      <c r="E29" s="31" t="n">
        <v>6980</v>
      </c>
      <c r="F29" s="31" t="n">
        <v>8756</v>
      </c>
      <c r="G29" s="31" t="n">
        <v>9025</v>
      </c>
      <c r="H29" s="31" t="n">
        <v>9053</v>
      </c>
      <c r="I29" s="31" t="n">
        <v>9435</v>
      </c>
      <c r="J29" s="31" t="n">
        <v>9708</v>
      </c>
      <c r="K29" s="6"/>
    </row>
    <row r="30" customFormat="false" ht="15" hidden="false" customHeight="false" outlineLevel="0" collapsed="false">
      <c r="A30" s="6" t="s">
        <v>559</v>
      </c>
      <c r="B30" s="26" t="n">
        <f aca="false">B29/B27</f>
        <v>0.291249036237471</v>
      </c>
      <c r="C30" s="26" t="n">
        <f aca="false">C29/C27</f>
        <v>0.29341208541572</v>
      </c>
      <c r="D30" s="26" t="n">
        <f aca="false">D29/D27</f>
        <v>0.294284797653421</v>
      </c>
      <c r="E30" s="26" t="n">
        <f aca="false">E29/E27</f>
        <v>0.306247806247806</v>
      </c>
      <c r="F30" s="26" t="n">
        <f aca="false">F29/F27</f>
        <v>0.306518238465308</v>
      </c>
      <c r="G30" s="26" t="n">
        <f aca="false">G29/G27</f>
        <v>0.303524584650568</v>
      </c>
      <c r="H30" s="26" t="n">
        <f aca="false">H29/H27</f>
        <v>0.305483381137169</v>
      </c>
      <c r="I30" s="26" t="n">
        <f aca="false">I29/I27</f>
        <v>0.306709576750536</v>
      </c>
      <c r="J30" s="26" t="n">
        <f aca="false">J29/J27</f>
        <v>0.310001277302337</v>
      </c>
      <c r="K30" s="12" t="s">
        <v>273</v>
      </c>
    </row>
    <row r="31" customFormat="false" ht="15" hidden="false" customHeight="false" outlineLevel="0" collapsed="false">
      <c r="A31" s="7" t="s">
        <v>640</v>
      </c>
      <c r="B31" s="31" t="n">
        <v>1687</v>
      </c>
      <c r="C31" s="31"/>
      <c r="D31" s="31" t="n">
        <v>1581</v>
      </c>
      <c r="E31" s="31" t="n">
        <v>2168</v>
      </c>
      <c r="F31" s="31" t="n">
        <v>3121</v>
      </c>
      <c r="G31" s="31" t="n">
        <v>2980</v>
      </c>
      <c r="H31" s="31" t="n">
        <v>2987</v>
      </c>
      <c r="I31" s="31" t="n">
        <v>2979</v>
      </c>
      <c r="J31" s="31" t="n">
        <v>3243</v>
      </c>
      <c r="K31" s="12" t="s">
        <v>912</v>
      </c>
    </row>
    <row r="32" customFormat="false" ht="15" hidden="false" customHeight="false" outlineLevel="0" collapsed="false">
      <c r="A32" s="7" t="s">
        <v>563</v>
      </c>
      <c r="B32" s="31" t="n">
        <v>1360</v>
      </c>
      <c r="C32" s="31" t="n">
        <v>1402</v>
      </c>
      <c r="D32" s="31" t="n">
        <v>1422</v>
      </c>
      <c r="E32" s="31" t="n">
        <v>2034</v>
      </c>
      <c r="F32" s="31" t="n">
        <v>2820</v>
      </c>
      <c r="G32" s="31" t="n">
        <v>2659</v>
      </c>
      <c r="H32" s="31" t="n">
        <v>2652</v>
      </c>
      <c r="I32" s="31" t="n">
        <v>2606</v>
      </c>
      <c r="J32" s="31" t="n">
        <v>2789</v>
      </c>
      <c r="K32" s="6"/>
    </row>
    <row r="33" customFormat="false" ht="15" hidden="false" customHeight="false" outlineLevel="0" collapsed="false">
      <c r="A33" s="6" t="s">
        <v>642</v>
      </c>
      <c r="B33" s="26" t="n">
        <f aca="false">B32/B27</f>
        <v>0.0655358519660756</v>
      </c>
      <c r="C33" s="26" t="n">
        <f aca="false">C32/C27</f>
        <v>0.0636983189459337</v>
      </c>
      <c r="D33" s="26" t="n">
        <f aca="false">D32/D27</f>
        <v>0.0651725560291489</v>
      </c>
      <c r="E33" s="26" t="n">
        <f aca="false">E32/E27</f>
        <v>0.0892418392418393</v>
      </c>
      <c r="F33" s="26" t="n">
        <f aca="false">F32/F27</f>
        <v>0.0987187565637471</v>
      </c>
      <c r="G33" s="26" t="n">
        <f aca="false">G32/G27</f>
        <v>0.0894262460482949</v>
      </c>
      <c r="H33" s="26" t="n">
        <f aca="false">H32/H27</f>
        <v>0.0894887801585963</v>
      </c>
      <c r="I33" s="26" t="n">
        <f aca="false">I32/I27</f>
        <v>0.0847149080033808</v>
      </c>
      <c r="J33" s="26" t="n">
        <f aca="false">J32/J27</f>
        <v>0.089059905479627</v>
      </c>
      <c r="K33" s="12" t="s">
        <v>273</v>
      </c>
    </row>
    <row r="34" customFormat="false" ht="15" hidden="false" customHeight="false" outlineLevel="0" collapsed="false">
      <c r="A34" s="7" t="s">
        <v>564</v>
      </c>
      <c r="B34" s="31" t="n">
        <v>1267</v>
      </c>
      <c r="C34" s="31" t="n">
        <v>1108</v>
      </c>
      <c r="D34" s="31" t="n">
        <v>961</v>
      </c>
      <c r="E34" s="31" t="n">
        <v>1508</v>
      </c>
      <c r="F34" s="31" t="n">
        <v>2122</v>
      </c>
      <c r="G34" s="31" t="n">
        <v>1889</v>
      </c>
      <c r="H34" s="31" t="n">
        <v>1735</v>
      </c>
      <c r="I34" s="31" t="n">
        <v>1856</v>
      </c>
      <c r="J34" s="31" t="n">
        <v>2006</v>
      </c>
      <c r="K34" s="6"/>
    </row>
    <row r="35" customFormat="false" ht="22.35" hidden="false" customHeight="false" outlineLevel="0" collapsed="false">
      <c r="A35" s="7" t="s">
        <v>565</v>
      </c>
      <c r="B35" s="42"/>
      <c r="C35" s="42"/>
      <c r="D35" s="42"/>
      <c r="E35" s="42"/>
      <c r="F35" s="42" t="n">
        <v>9.69</v>
      </c>
      <c r="G35" s="42" t="n">
        <v>9.12</v>
      </c>
      <c r="H35" s="42" t="n">
        <v>8.53</v>
      </c>
      <c r="I35" s="42" t="n">
        <v>9.32</v>
      </c>
      <c r="J35" s="42" t="n">
        <v>10.16</v>
      </c>
      <c r="K35" s="12" t="s">
        <v>913</v>
      </c>
    </row>
    <row r="36" customFormat="false" ht="15" hidden="false" customHeight="false" outlineLevel="0" collapsed="false">
      <c r="A36" s="7" t="s">
        <v>888</v>
      </c>
      <c r="B36" s="31" t="n">
        <v>1323</v>
      </c>
      <c r="C36" s="31" t="n">
        <v>1609</v>
      </c>
      <c r="D36" s="31" t="n">
        <v>1868</v>
      </c>
      <c r="E36" s="31" t="n">
        <v>1541</v>
      </c>
      <c r="F36" s="31" t="n">
        <v>1149</v>
      </c>
      <c r="G36" s="31" t="n">
        <v>2723</v>
      </c>
      <c r="H36" s="31" t="n">
        <v>1873</v>
      </c>
      <c r="I36" s="31" t="n">
        <v>1908</v>
      </c>
      <c r="J36" s="31" t="n">
        <v>2181</v>
      </c>
      <c r="K36" s="6"/>
    </row>
    <row r="37" customFormat="false" ht="15" hidden="false" customHeight="false" outlineLevel="0" collapsed="false">
      <c r="A37" s="7" t="s">
        <v>889</v>
      </c>
      <c r="B37" s="31" t="n">
        <v>265</v>
      </c>
      <c r="C37" s="31" t="n">
        <v>382</v>
      </c>
      <c r="D37" s="31" t="n">
        <v>215</v>
      </c>
      <c r="E37" s="31" t="n">
        <v>174</v>
      </c>
      <c r="F37" s="31" t="n">
        <v>290</v>
      </c>
      <c r="G37" s="31" t="n">
        <v>441</v>
      </c>
      <c r="H37" s="31" t="n">
        <v>372</v>
      </c>
      <c r="I37" s="31" t="n">
        <v>305</v>
      </c>
      <c r="J37" s="31" t="n">
        <v>354</v>
      </c>
      <c r="K37" s="12" t="s">
        <v>890</v>
      </c>
    </row>
    <row r="38" customFormat="false" ht="22.35" hidden="false" customHeight="false" outlineLevel="0" collapsed="false">
      <c r="A38" s="7" t="s">
        <v>891</v>
      </c>
      <c r="B38" s="27" t="n">
        <f aca="false">B36-B37</f>
        <v>1058</v>
      </c>
      <c r="C38" s="27" t="n">
        <f aca="false">C36-C37</f>
        <v>1227</v>
      </c>
      <c r="D38" s="27" t="n">
        <f aca="false">D36-D37</f>
        <v>1653</v>
      </c>
      <c r="E38" s="27" t="n">
        <f aca="false">E36-E37</f>
        <v>1367</v>
      </c>
      <c r="F38" s="27" t="n">
        <f aca="false">F36-F37</f>
        <v>859</v>
      </c>
      <c r="G38" s="27" t="n">
        <f aca="false">G36-G37</f>
        <v>2282</v>
      </c>
      <c r="H38" s="27" t="n">
        <f aca="false">H36-H37</f>
        <v>1501</v>
      </c>
      <c r="I38" s="27" t="n">
        <f aca="false">I36-I37</f>
        <v>1603</v>
      </c>
      <c r="J38" s="27" t="n">
        <f aca="false">J36-J37</f>
        <v>1827</v>
      </c>
      <c r="K38" s="12" t="s">
        <v>914</v>
      </c>
    </row>
    <row r="39" customFormat="false" ht="15" hidden="false" customHeight="false" outlineLevel="0" collapsed="false">
      <c r="A39" s="6" t="s">
        <v>894</v>
      </c>
      <c r="B39" s="26" t="n">
        <f aca="false">B37/B27</f>
        <v>0.0127698535080956</v>
      </c>
      <c r="C39" s="26" t="n">
        <f aca="false">C37/C27</f>
        <v>0.0173557473875511</v>
      </c>
      <c r="D39" s="26" t="n">
        <f aca="false">D37/D27</f>
        <v>0.00985379714927357</v>
      </c>
      <c r="E39" s="26" t="n">
        <f aca="false">E37/E27</f>
        <v>0.00763425763425763</v>
      </c>
      <c r="F39" s="26" t="n">
        <f aca="false">F37/F27</f>
        <v>0.0101519288664846</v>
      </c>
      <c r="G39" s="26" t="n">
        <f aca="false">G37/G27</f>
        <v>0.0148315060200444</v>
      </c>
      <c r="H39" s="26" t="n">
        <f aca="false">H37/H27</f>
        <v>0.0125527248186266</v>
      </c>
      <c r="I39" s="26" t="n">
        <f aca="false">I37/I27</f>
        <v>0.00991482998504649</v>
      </c>
      <c r="J39" s="26" t="n">
        <f aca="false">J37/J27</f>
        <v>0.01130412568655</v>
      </c>
      <c r="K39" s="12" t="s">
        <v>273</v>
      </c>
    </row>
    <row r="41" customFormat="false" ht="74.6" hidden="false" customHeight="false" outlineLevel="0" collapsed="false">
      <c r="A41" s="4" t="s">
        <v>915</v>
      </c>
    </row>
    <row r="44" customFormat="false" ht="15" hidden="false" customHeight="false" outlineLevel="0" collapsed="false">
      <c r="A44" s="3" t="s">
        <v>916</v>
      </c>
    </row>
    <row r="45" customFormat="false" ht="53.7" hidden="false" customHeight="false" outlineLevel="0" collapsed="false">
      <c r="A45" s="4" t="s">
        <v>917</v>
      </c>
    </row>
    <row r="47" customFormat="false" ht="30" hidden="false" customHeight="true" outlineLevel="0" collapsed="false">
      <c r="A47" s="5" t="s">
        <v>918</v>
      </c>
      <c r="B47" s="5" t="s">
        <v>198</v>
      </c>
      <c r="C47" s="5" t="s">
        <v>76</v>
      </c>
      <c r="D47" s="5" t="s">
        <v>77</v>
      </c>
      <c r="E47" s="5"/>
      <c r="F47" s="5"/>
      <c r="G47" s="5"/>
      <c r="H47" s="5"/>
      <c r="I47" s="5"/>
      <c r="J47" s="5" t="s">
        <v>164</v>
      </c>
      <c r="K47" s="5" t="s">
        <v>919</v>
      </c>
    </row>
    <row r="48" customFormat="false" ht="64.15" hidden="false" customHeight="false" outlineLevel="0" collapsed="false">
      <c r="A48" s="7" t="s">
        <v>920</v>
      </c>
      <c r="B48" s="12" t="s">
        <v>921</v>
      </c>
      <c r="C48" s="31" t="n">
        <v>626</v>
      </c>
      <c r="D48" s="6" t="s">
        <v>80</v>
      </c>
      <c r="E48" s="50" t="s">
        <v>922</v>
      </c>
      <c r="F48" s="6"/>
      <c r="G48" s="6"/>
      <c r="H48" s="6"/>
      <c r="I48" s="6"/>
      <c r="J48" s="12" t="s">
        <v>923</v>
      </c>
      <c r="K48" s="12" t="s">
        <v>924</v>
      </c>
    </row>
    <row r="49" customFormat="false" ht="15" hidden="false" customHeight="false" outlineLevel="0" collapsed="false">
      <c r="A49" s="7" t="s">
        <v>167</v>
      </c>
      <c r="B49" s="12" t="s">
        <v>921</v>
      </c>
      <c r="C49" s="17" t="n">
        <v>0.023</v>
      </c>
      <c r="D49" s="6" t="s">
        <v>93</v>
      </c>
      <c r="E49" s="50" t="s">
        <v>922</v>
      </c>
      <c r="F49" s="6"/>
      <c r="G49" s="6"/>
      <c r="H49" s="6"/>
      <c r="I49" s="6"/>
      <c r="J49" s="12" t="s">
        <v>168</v>
      </c>
      <c r="K49" s="12" t="s">
        <v>925</v>
      </c>
    </row>
    <row r="50" customFormat="false" ht="15" hidden="false" customHeight="false" outlineLevel="0" collapsed="false">
      <c r="A50" s="7" t="s">
        <v>169</v>
      </c>
      <c r="B50" s="12" t="s">
        <v>921</v>
      </c>
      <c r="C50" s="31" t="n">
        <v>175</v>
      </c>
      <c r="D50" s="6" t="s">
        <v>80</v>
      </c>
      <c r="E50" s="50" t="s">
        <v>922</v>
      </c>
      <c r="F50" s="6"/>
      <c r="G50" s="6"/>
      <c r="H50" s="6"/>
      <c r="I50" s="6"/>
      <c r="J50" s="12" t="s">
        <v>926</v>
      </c>
      <c r="K50" s="12" t="s">
        <v>927</v>
      </c>
    </row>
    <row r="51" customFormat="false" ht="22.35" hidden="false" customHeight="false" outlineLevel="0" collapsed="false">
      <c r="A51" s="7" t="s">
        <v>928</v>
      </c>
      <c r="B51" s="12" t="s">
        <v>921</v>
      </c>
      <c r="C51" s="31" t="n">
        <v>59</v>
      </c>
      <c r="D51" s="6" t="s">
        <v>80</v>
      </c>
      <c r="E51" s="50" t="s">
        <v>922</v>
      </c>
      <c r="F51" s="6"/>
      <c r="G51" s="6"/>
      <c r="H51" s="6"/>
      <c r="I51" s="6"/>
      <c r="J51" s="12" t="s">
        <v>168</v>
      </c>
      <c r="K51" s="12" t="s">
        <v>929</v>
      </c>
    </row>
    <row r="52" customFormat="false" ht="15" hidden="false" customHeight="false" outlineLevel="0" collapsed="false">
      <c r="A52" s="7" t="s">
        <v>930</v>
      </c>
      <c r="B52" s="12" t="s">
        <v>921</v>
      </c>
      <c r="C52" s="31" t="n">
        <v>114</v>
      </c>
      <c r="D52" s="6" t="s">
        <v>80</v>
      </c>
      <c r="E52" s="50" t="s">
        <v>922</v>
      </c>
      <c r="F52" s="6"/>
      <c r="G52" s="6"/>
      <c r="H52" s="6"/>
      <c r="I52" s="6"/>
      <c r="J52" s="12" t="s">
        <v>168</v>
      </c>
      <c r="K52" s="12" t="s">
        <v>931</v>
      </c>
    </row>
    <row r="53" customFormat="false" ht="15" hidden="false" customHeight="false" outlineLevel="0" collapsed="false">
      <c r="A53" s="7" t="s">
        <v>932</v>
      </c>
      <c r="B53" s="12" t="s">
        <v>921</v>
      </c>
      <c r="C53" s="17" t="n">
        <v>0.92</v>
      </c>
      <c r="D53" s="6" t="s">
        <v>93</v>
      </c>
      <c r="E53" s="50" t="s">
        <v>922</v>
      </c>
      <c r="F53" s="6"/>
      <c r="G53" s="6"/>
      <c r="H53" s="6"/>
      <c r="I53" s="6"/>
      <c r="J53" s="12" t="s">
        <v>168</v>
      </c>
      <c r="K53" s="12" t="s">
        <v>931</v>
      </c>
    </row>
    <row r="54" customFormat="false" ht="15" hidden="false" customHeight="false" outlineLevel="0" collapsed="false">
      <c r="A54" s="7" t="s">
        <v>933</v>
      </c>
      <c r="B54" s="12" t="s">
        <v>921</v>
      </c>
      <c r="C54" s="17" t="n">
        <v>0.79</v>
      </c>
      <c r="D54" s="6" t="s">
        <v>93</v>
      </c>
      <c r="E54" s="50" t="s">
        <v>922</v>
      </c>
      <c r="F54" s="6"/>
      <c r="G54" s="6"/>
      <c r="H54" s="6"/>
      <c r="I54" s="6"/>
      <c r="J54" s="12" t="s">
        <v>168</v>
      </c>
      <c r="K54" s="12" t="s">
        <v>934</v>
      </c>
    </row>
    <row r="55" customFormat="false" ht="15" hidden="false" customHeight="false" outlineLevel="0" collapsed="false">
      <c r="A55" s="7" t="s">
        <v>935</v>
      </c>
      <c r="B55" s="12" t="s">
        <v>921</v>
      </c>
      <c r="C55" s="17" t="n">
        <v>0.567</v>
      </c>
      <c r="D55" s="6" t="s">
        <v>93</v>
      </c>
      <c r="E55" s="50" t="s">
        <v>922</v>
      </c>
      <c r="F55" s="6"/>
      <c r="G55" s="6"/>
      <c r="H55" s="6"/>
      <c r="I55" s="6"/>
      <c r="J55" s="12" t="s">
        <v>168</v>
      </c>
      <c r="K55" s="12" t="s">
        <v>936</v>
      </c>
    </row>
    <row r="56" customFormat="false" ht="22.35" hidden="false" customHeight="false" outlineLevel="0" collapsed="false">
      <c r="A56" s="7" t="s">
        <v>937</v>
      </c>
      <c r="B56" s="12" t="s">
        <v>938</v>
      </c>
      <c r="C56" s="14" t="n">
        <v>36.5</v>
      </c>
      <c r="D56" s="6" t="s">
        <v>80</v>
      </c>
      <c r="E56" s="50" t="s">
        <v>922</v>
      </c>
      <c r="F56" s="6"/>
      <c r="G56" s="6"/>
      <c r="H56" s="6"/>
      <c r="I56" s="6"/>
      <c r="J56" s="12" t="s">
        <v>939</v>
      </c>
      <c r="K56" s="12" t="s">
        <v>940</v>
      </c>
    </row>
    <row r="57" customFormat="false" ht="22.35" hidden="false" customHeight="false" outlineLevel="0" collapsed="false">
      <c r="A57" s="7" t="s">
        <v>941</v>
      </c>
      <c r="B57" s="12" t="s">
        <v>938</v>
      </c>
      <c r="C57" s="14" t="n">
        <v>34.8</v>
      </c>
      <c r="D57" s="6" t="s">
        <v>80</v>
      </c>
      <c r="E57" s="50" t="s">
        <v>922</v>
      </c>
      <c r="F57" s="6"/>
      <c r="G57" s="6"/>
      <c r="H57" s="6"/>
      <c r="I57" s="6"/>
      <c r="J57" s="12" t="s">
        <v>939</v>
      </c>
      <c r="K57" s="12" t="s">
        <v>942</v>
      </c>
    </row>
    <row r="58" customFormat="false" ht="23.85" hidden="false" customHeight="false" outlineLevel="0" collapsed="false">
      <c r="A58" s="7" t="s">
        <v>943</v>
      </c>
      <c r="B58" s="12" t="s">
        <v>938</v>
      </c>
      <c r="C58" s="14" t="n">
        <v>54.3</v>
      </c>
      <c r="D58" s="6" t="s">
        <v>80</v>
      </c>
      <c r="E58" s="50" t="s">
        <v>922</v>
      </c>
      <c r="F58" s="6"/>
      <c r="G58" s="6"/>
      <c r="H58" s="6"/>
      <c r="I58" s="6"/>
      <c r="J58" s="12" t="s">
        <v>939</v>
      </c>
      <c r="K58" s="12" t="s">
        <v>944</v>
      </c>
    </row>
    <row r="59" customFormat="false" ht="23.85" hidden="false" customHeight="false" outlineLevel="0" collapsed="false">
      <c r="A59" s="7" t="s">
        <v>945</v>
      </c>
      <c r="B59" s="12" t="s">
        <v>938</v>
      </c>
      <c r="C59" s="14" t="n">
        <v>53</v>
      </c>
      <c r="D59" s="6" t="s">
        <v>80</v>
      </c>
      <c r="E59" s="50" t="s">
        <v>922</v>
      </c>
      <c r="F59" s="6"/>
      <c r="G59" s="6"/>
      <c r="H59" s="6"/>
      <c r="I59" s="6"/>
      <c r="J59" s="12" t="s">
        <v>939</v>
      </c>
      <c r="K59" s="12" t="s">
        <v>946</v>
      </c>
    </row>
    <row r="60" customFormat="false" ht="43.25" hidden="false" customHeight="false" outlineLevel="0" collapsed="false">
      <c r="A60" s="7" t="s">
        <v>199</v>
      </c>
      <c r="B60" s="12" t="s">
        <v>200</v>
      </c>
      <c r="C60" s="31" t="n">
        <v>350</v>
      </c>
      <c r="D60" s="6" t="s">
        <v>80</v>
      </c>
      <c r="E60" s="50" t="s">
        <v>922</v>
      </c>
      <c r="F60" s="6"/>
      <c r="G60" s="6"/>
      <c r="H60" s="6"/>
      <c r="I60" s="6"/>
      <c r="J60" s="12" t="s">
        <v>201</v>
      </c>
      <c r="K60" s="12" t="s">
        <v>947</v>
      </c>
    </row>
    <row r="61" customFormat="false" ht="22.35" hidden="false" customHeight="false" outlineLevel="0" collapsed="false">
      <c r="A61" s="7" t="s">
        <v>204</v>
      </c>
      <c r="B61" s="12" t="s">
        <v>200</v>
      </c>
      <c r="C61" s="31" t="n">
        <v>226</v>
      </c>
      <c r="D61" s="6" t="s">
        <v>80</v>
      </c>
      <c r="E61" s="50" t="s">
        <v>922</v>
      </c>
      <c r="F61" s="6"/>
      <c r="G61" s="6"/>
      <c r="H61" s="6"/>
      <c r="I61" s="6"/>
      <c r="J61" s="12" t="s">
        <v>205</v>
      </c>
      <c r="K61" s="12" t="s">
        <v>948</v>
      </c>
    </row>
    <row r="62" customFormat="false" ht="22.35" hidden="false" customHeight="false" outlineLevel="0" collapsed="false">
      <c r="A62" s="7" t="s">
        <v>949</v>
      </c>
      <c r="B62" s="12" t="s">
        <v>207</v>
      </c>
      <c r="C62" s="31" t="n">
        <v>279</v>
      </c>
      <c r="D62" s="6" t="s">
        <v>80</v>
      </c>
      <c r="E62" s="50" t="s">
        <v>922</v>
      </c>
      <c r="F62" s="6"/>
      <c r="G62" s="6"/>
      <c r="H62" s="6"/>
      <c r="I62" s="6"/>
      <c r="J62" s="12" t="s">
        <v>205</v>
      </c>
      <c r="K62" s="12" t="s">
        <v>948</v>
      </c>
    </row>
    <row r="63" customFormat="false" ht="22.35" hidden="false" customHeight="false" outlineLevel="0" collapsed="false">
      <c r="A63" s="7" t="s">
        <v>949</v>
      </c>
      <c r="B63" s="12" t="s">
        <v>209</v>
      </c>
      <c r="C63" s="31" t="n">
        <v>492</v>
      </c>
      <c r="D63" s="6" t="s">
        <v>80</v>
      </c>
      <c r="E63" s="50" t="s">
        <v>922</v>
      </c>
      <c r="F63" s="6"/>
      <c r="G63" s="6"/>
      <c r="H63" s="6"/>
      <c r="I63" s="6"/>
      <c r="J63" s="12" t="s">
        <v>205</v>
      </c>
      <c r="K63" s="12" t="s">
        <v>950</v>
      </c>
    </row>
    <row r="64" customFormat="false" ht="22.35" hidden="false" customHeight="false" outlineLevel="0" collapsed="false">
      <c r="A64" s="7" t="s">
        <v>951</v>
      </c>
      <c r="B64" s="12" t="s">
        <v>237</v>
      </c>
      <c r="C64" s="14" t="n">
        <v>2.7</v>
      </c>
      <c r="D64" s="6" t="s">
        <v>80</v>
      </c>
      <c r="E64" s="50" t="s">
        <v>922</v>
      </c>
      <c r="F64" s="6"/>
      <c r="G64" s="6"/>
      <c r="H64" s="6"/>
      <c r="I64" s="6"/>
      <c r="J64" s="12" t="s">
        <v>238</v>
      </c>
      <c r="K64" s="12" t="s">
        <v>952</v>
      </c>
    </row>
    <row r="65" customFormat="false" ht="22.35" hidden="false" customHeight="false" outlineLevel="0" collapsed="false">
      <c r="A65" s="7" t="s">
        <v>953</v>
      </c>
      <c r="B65" s="12" t="s">
        <v>240</v>
      </c>
      <c r="C65" s="14" t="n">
        <v>11.4</v>
      </c>
      <c r="D65" s="6" t="s">
        <v>80</v>
      </c>
      <c r="E65" s="50" t="s">
        <v>922</v>
      </c>
      <c r="F65" s="6"/>
      <c r="G65" s="6"/>
      <c r="H65" s="6"/>
      <c r="I65" s="6"/>
      <c r="J65" s="12" t="s">
        <v>238</v>
      </c>
      <c r="K65" s="12" t="s">
        <v>954</v>
      </c>
    </row>
    <row r="66" customFormat="false" ht="15" hidden="false" customHeight="false" outlineLevel="0" collapsed="false">
      <c r="A66" s="7" t="s">
        <v>242</v>
      </c>
      <c r="B66" s="12" t="s">
        <v>237</v>
      </c>
      <c r="C66" s="14" t="n">
        <v>1.64</v>
      </c>
      <c r="D66" s="6" t="s">
        <v>80</v>
      </c>
      <c r="E66" s="50" t="s">
        <v>922</v>
      </c>
      <c r="F66" s="6"/>
      <c r="G66" s="6"/>
      <c r="H66" s="6"/>
      <c r="I66" s="6"/>
      <c r="J66" s="12" t="s">
        <v>243</v>
      </c>
      <c r="K66" s="12" t="s">
        <v>955</v>
      </c>
    </row>
    <row r="67" customFormat="false" ht="15" hidden="false" customHeight="false" outlineLevel="0" collapsed="false">
      <c r="A67" s="7" t="s">
        <v>244</v>
      </c>
      <c r="B67" s="12" t="s">
        <v>245</v>
      </c>
      <c r="C67" s="14" t="n">
        <v>1.6</v>
      </c>
      <c r="D67" s="6" t="s">
        <v>80</v>
      </c>
      <c r="E67" s="50" t="s">
        <v>922</v>
      </c>
      <c r="F67" s="6"/>
      <c r="G67" s="6"/>
      <c r="H67" s="6"/>
      <c r="I67" s="6"/>
      <c r="J67" s="12" t="s">
        <v>243</v>
      </c>
      <c r="K67" s="12" t="s">
        <v>956</v>
      </c>
    </row>
    <row r="68" customFormat="false" ht="15" hidden="false" customHeight="false" outlineLevel="0" collapsed="false">
      <c r="A68" s="7" t="s">
        <v>246</v>
      </c>
      <c r="B68" s="12" t="s">
        <v>245</v>
      </c>
      <c r="C68" s="14" t="n">
        <v>2.6</v>
      </c>
      <c r="D68" s="6" t="s">
        <v>80</v>
      </c>
      <c r="E68" s="50" t="s">
        <v>922</v>
      </c>
      <c r="F68" s="6"/>
      <c r="G68" s="6"/>
      <c r="H68" s="6"/>
      <c r="I68" s="6"/>
      <c r="J68" s="12" t="s">
        <v>243</v>
      </c>
      <c r="K68" s="12" t="s">
        <v>956</v>
      </c>
    </row>
    <row r="69" customFormat="false" ht="15" hidden="false" customHeight="false" outlineLevel="0" collapsed="false">
      <c r="A69" s="7" t="s">
        <v>247</v>
      </c>
      <c r="B69" s="12" t="s">
        <v>245</v>
      </c>
      <c r="C69" s="14" t="n">
        <v>1.1</v>
      </c>
      <c r="D69" s="6" t="s">
        <v>80</v>
      </c>
      <c r="E69" s="50" t="s">
        <v>922</v>
      </c>
      <c r="F69" s="6"/>
      <c r="G69" s="6"/>
      <c r="H69" s="6"/>
      <c r="I69" s="6"/>
      <c r="J69" s="12" t="s">
        <v>243</v>
      </c>
      <c r="K69" s="12" t="s">
        <v>956</v>
      </c>
    </row>
    <row r="70" customFormat="false" ht="15" hidden="false" customHeight="false" outlineLevel="0" collapsed="false">
      <c r="A70" s="7" t="s">
        <v>248</v>
      </c>
      <c r="B70" s="12" t="s">
        <v>245</v>
      </c>
      <c r="C70" s="14" t="n">
        <v>2.6</v>
      </c>
      <c r="D70" s="6" t="s">
        <v>80</v>
      </c>
      <c r="E70" s="50" t="s">
        <v>922</v>
      </c>
      <c r="F70" s="6"/>
      <c r="G70" s="6"/>
      <c r="H70" s="6"/>
      <c r="I70" s="6"/>
      <c r="J70" s="12" t="s">
        <v>243</v>
      </c>
      <c r="K70" s="12" t="s">
        <v>956</v>
      </c>
    </row>
    <row r="71" customFormat="false" ht="15" hidden="false" customHeight="false" outlineLevel="0" collapsed="false">
      <c r="A71" s="7" t="s">
        <v>957</v>
      </c>
      <c r="B71" s="12" t="s">
        <v>245</v>
      </c>
      <c r="C71" s="14" t="n">
        <v>3.04</v>
      </c>
      <c r="D71" s="6" t="s">
        <v>80</v>
      </c>
      <c r="E71" s="50" t="s">
        <v>922</v>
      </c>
      <c r="F71" s="6"/>
      <c r="G71" s="6"/>
      <c r="H71" s="6"/>
      <c r="I71" s="6"/>
      <c r="J71" s="12" t="s">
        <v>958</v>
      </c>
      <c r="K71" s="12" t="s">
        <v>954</v>
      </c>
    </row>
    <row r="72" customFormat="false" ht="15" hidden="false" customHeight="false" outlineLevel="0" collapsed="false">
      <c r="A72" s="7" t="s">
        <v>957</v>
      </c>
      <c r="B72" s="12" t="s">
        <v>250</v>
      </c>
      <c r="C72" s="14" t="n">
        <v>3.04</v>
      </c>
      <c r="D72" s="6" t="s">
        <v>80</v>
      </c>
      <c r="E72" s="50" t="s">
        <v>922</v>
      </c>
      <c r="F72" s="6"/>
      <c r="G72" s="6"/>
      <c r="H72" s="6"/>
      <c r="I72" s="6"/>
      <c r="J72" s="12" t="s">
        <v>959</v>
      </c>
      <c r="K72" s="12" t="s">
        <v>960</v>
      </c>
    </row>
    <row r="73" customFormat="false" ht="32.8" hidden="false" customHeight="false" outlineLevel="0" collapsed="false">
      <c r="A73" s="7" t="s">
        <v>961</v>
      </c>
      <c r="B73" s="12" t="s">
        <v>297</v>
      </c>
      <c r="C73" s="14" t="n">
        <v>0.91</v>
      </c>
      <c r="D73" s="6" t="s">
        <v>80</v>
      </c>
      <c r="E73" s="50" t="s">
        <v>922</v>
      </c>
      <c r="F73" s="6"/>
      <c r="G73" s="6"/>
      <c r="H73" s="6"/>
      <c r="I73" s="6"/>
      <c r="J73" s="12" t="s">
        <v>962</v>
      </c>
      <c r="K73" s="12" t="s">
        <v>963</v>
      </c>
    </row>
    <row r="74" customFormat="false" ht="32.8" hidden="false" customHeight="false" outlineLevel="0" collapsed="false">
      <c r="A74" s="7" t="s">
        <v>964</v>
      </c>
      <c r="B74" s="12" t="s">
        <v>297</v>
      </c>
      <c r="C74" s="17" t="n">
        <v>-0.16</v>
      </c>
      <c r="D74" s="6" t="s">
        <v>93</v>
      </c>
      <c r="E74" s="50" t="s">
        <v>922</v>
      </c>
      <c r="F74" s="6"/>
      <c r="G74" s="6"/>
      <c r="H74" s="6"/>
      <c r="I74" s="6"/>
      <c r="J74" s="12" t="s">
        <v>962</v>
      </c>
      <c r="K74" s="12" t="s">
        <v>965</v>
      </c>
    </row>
    <row r="75" customFormat="false" ht="22.35" hidden="false" customHeight="false" outlineLevel="0" collapsed="false">
      <c r="A75" s="7" t="s">
        <v>966</v>
      </c>
      <c r="B75" s="12" t="s">
        <v>257</v>
      </c>
      <c r="C75" s="14" t="n">
        <v>11.7</v>
      </c>
      <c r="D75" s="6" t="s">
        <v>80</v>
      </c>
      <c r="E75" s="50" t="s">
        <v>922</v>
      </c>
      <c r="F75" s="6"/>
      <c r="G75" s="6"/>
      <c r="H75" s="6"/>
      <c r="I75" s="6"/>
      <c r="J75" s="12" t="s">
        <v>967</v>
      </c>
      <c r="K75" s="12" t="s">
        <v>968</v>
      </c>
    </row>
    <row r="76" customFormat="false" ht="15" hidden="false" customHeight="false" outlineLevel="0" collapsed="false">
      <c r="A76" s="7" t="s">
        <v>969</v>
      </c>
      <c r="B76" s="12" t="s">
        <v>257</v>
      </c>
      <c r="C76" s="14" t="n">
        <v>11.7</v>
      </c>
      <c r="D76" s="6" t="s">
        <v>80</v>
      </c>
      <c r="E76" s="50" t="s">
        <v>922</v>
      </c>
      <c r="F76" s="6"/>
      <c r="G76" s="6"/>
      <c r="H76" s="6"/>
      <c r="I76" s="6"/>
      <c r="J76" s="12" t="s">
        <v>970</v>
      </c>
      <c r="K76" s="12" t="s">
        <v>968</v>
      </c>
    </row>
    <row r="77" customFormat="false" ht="15" hidden="false" customHeight="false" outlineLevel="0" collapsed="false">
      <c r="A77" s="7" t="s">
        <v>971</v>
      </c>
      <c r="B77" s="12" t="s">
        <v>257</v>
      </c>
      <c r="C77" s="14" t="n">
        <v>15</v>
      </c>
      <c r="D77" s="6" t="s">
        <v>80</v>
      </c>
      <c r="E77" s="50" t="s">
        <v>922</v>
      </c>
      <c r="F77" s="6"/>
      <c r="G77" s="6"/>
      <c r="H77" s="6"/>
      <c r="I77" s="6"/>
      <c r="J77" s="12" t="s">
        <v>970</v>
      </c>
      <c r="K77" s="12" t="s">
        <v>968</v>
      </c>
    </row>
    <row r="78" customFormat="false" ht="15" hidden="false" customHeight="false" outlineLevel="0" collapsed="false">
      <c r="A78" s="7" t="s">
        <v>972</v>
      </c>
      <c r="B78" s="12" t="s">
        <v>257</v>
      </c>
      <c r="C78" s="14" t="n">
        <v>4</v>
      </c>
      <c r="D78" s="6" t="s">
        <v>80</v>
      </c>
      <c r="E78" s="50" t="s">
        <v>922</v>
      </c>
      <c r="F78" s="6"/>
      <c r="G78" s="6"/>
      <c r="H78" s="6"/>
      <c r="I78" s="6"/>
      <c r="J78" s="12" t="s">
        <v>970</v>
      </c>
      <c r="K78" s="12" t="s">
        <v>968</v>
      </c>
    </row>
    <row r="79" customFormat="false" ht="15" hidden="false" customHeight="false" outlineLevel="0" collapsed="false">
      <c r="A79" s="7" t="s">
        <v>284</v>
      </c>
      <c r="B79" s="12" t="s">
        <v>973</v>
      </c>
      <c r="C79" s="14" t="n">
        <v>23</v>
      </c>
      <c r="D79" s="6" t="s">
        <v>80</v>
      </c>
      <c r="E79" s="50" t="s">
        <v>922</v>
      </c>
      <c r="F79" s="6"/>
      <c r="G79" s="6"/>
      <c r="H79" s="6"/>
      <c r="I79" s="6"/>
      <c r="J79" s="12" t="s">
        <v>974</v>
      </c>
      <c r="K79" s="12" t="s">
        <v>975</v>
      </c>
    </row>
    <row r="80" customFormat="false" ht="15" hidden="false" customHeight="false" outlineLevel="0" collapsed="false">
      <c r="A80" s="7" t="s">
        <v>287</v>
      </c>
      <c r="B80" s="12" t="s">
        <v>973</v>
      </c>
      <c r="C80" s="14" t="n">
        <v>51</v>
      </c>
      <c r="D80" s="6" t="s">
        <v>80</v>
      </c>
      <c r="E80" s="50" t="s">
        <v>922</v>
      </c>
      <c r="F80" s="6"/>
      <c r="G80" s="6"/>
      <c r="H80" s="6"/>
      <c r="I80" s="6"/>
      <c r="J80" s="12" t="s">
        <v>974</v>
      </c>
      <c r="K80" s="12" t="s">
        <v>976</v>
      </c>
    </row>
    <row r="81" customFormat="false" ht="15" hidden="false" customHeight="false" outlineLevel="0" collapsed="false">
      <c r="A81" s="7" t="s">
        <v>977</v>
      </c>
      <c r="B81" s="12" t="s">
        <v>245</v>
      </c>
      <c r="C81" s="14" t="n">
        <v>1.2</v>
      </c>
      <c r="D81" s="6" t="s">
        <v>80</v>
      </c>
      <c r="E81" s="50" t="s">
        <v>922</v>
      </c>
      <c r="F81" s="6"/>
      <c r="G81" s="6"/>
      <c r="H81" s="6"/>
      <c r="I81" s="6"/>
      <c r="J81" s="12" t="s">
        <v>974</v>
      </c>
      <c r="K81" s="12" t="s">
        <v>292</v>
      </c>
    </row>
    <row r="82" customFormat="false" ht="15" hidden="false" customHeight="false" outlineLevel="0" collapsed="false">
      <c r="A82" s="7" t="s">
        <v>978</v>
      </c>
      <c r="B82" s="12" t="s">
        <v>979</v>
      </c>
      <c r="C82" s="14" t="n">
        <v>14</v>
      </c>
      <c r="D82" s="6" t="s">
        <v>80</v>
      </c>
      <c r="E82" s="50" t="s">
        <v>922</v>
      </c>
      <c r="F82" s="6"/>
      <c r="G82" s="6"/>
      <c r="H82" s="6"/>
      <c r="I82" s="6"/>
      <c r="J82" s="12" t="s">
        <v>311</v>
      </c>
      <c r="K82" s="12" t="s">
        <v>980</v>
      </c>
    </row>
    <row r="83" customFormat="false" ht="15" hidden="false" customHeight="false" outlineLevel="0" collapsed="false">
      <c r="A83" s="7" t="s">
        <v>981</v>
      </c>
      <c r="B83" s="12" t="s">
        <v>979</v>
      </c>
      <c r="C83" s="14" t="n">
        <v>16.5</v>
      </c>
      <c r="D83" s="6" t="s">
        <v>80</v>
      </c>
      <c r="E83" s="50" t="s">
        <v>922</v>
      </c>
      <c r="F83" s="6"/>
      <c r="G83" s="6"/>
      <c r="H83" s="6"/>
      <c r="I83" s="6"/>
      <c r="J83" s="12" t="s">
        <v>311</v>
      </c>
      <c r="K83" s="12" t="s">
        <v>982</v>
      </c>
    </row>
    <row r="84" customFormat="false" ht="22.35" hidden="false" customHeight="false" outlineLevel="0" collapsed="false">
      <c r="A84" s="7" t="s">
        <v>983</v>
      </c>
      <c r="B84" s="12" t="s">
        <v>984</v>
      </c>
      <c r="C84" s="14" t="n">
        <v>364.2</v>
      </c>
      <c r="D84" s="6" t="s">
        <v>80</v>
      </c>
      <c r="E84" s="50" t="s">
        <v>922</v>
      </c>
      <c r="F84" s="6"/>
      <c r="G84" s="6"/>
      <c r="H84" s="6"/>
      <c r="I84" s="6"/>
      <c r="J84" s="12" t="s">
        <v>985</v>
      </c>
      <c r="K84" s="12" t="s">
        <v>986</v>
      </c>
    </row>
    <row r="85" customFormat="false" ht="22.35" hidden="false" customHeight="false" outlineLevel="0" collapsed="false">
      <c r="A85" s="7" t="s">
        <v>983</v>
      </c>
      <c r="B85" s="12" t="s">
        <v>987</v>
      </c>
      <c r="C85" s="14" t="n">
        <v>630.1</v>
      </c>
      <c r="D85" s="6" t="s">
        <v>80</v>
      </c>
      <c r="E85" s="50" t="s">
        <v>922</v>
      </c>
      <c r="F85" s="6"/>
      <c r="G85" s="6"/>
      <c r="H85" s="6"/>
      <c r="I85" s="6"/>
      <c r="J85" s="12" t="s">
        <v>830</v>
      </c>
      <c r="K85" s="12" t="s">
        <v>988</v>
      </c>
    </row>
    <row r="86" customFormat="false" ht="15" hidden="false" customHeight="false" outlineLevel="0" collapsed="false">
      <c r="A86" s="7" t="s">
        <v>989</v>
      </c>
      <c r="B86" s="12" t="s">
        <v>990</v>
      </c>
      <c r="C86" s="14" t="n">
        <v>472.6</v>
      </c>
      <c r="D86" s="6" t="s">
        <v>80</v>
      </c>
      <c r="E86" s="50" t="s">
        <v>922</v>
      </c>
      <c r="F86" s="6"/>
      <c r="G86" s="6"/>
      <c r="H86" s="6"/>
      <c r="I86" s="6"/>
      <c r="J86" s="12" t="s">
        <v>991</v>
      </c>
      <c r="K86" s="12" t="s">
        <v>992</v>
      </c>
    </row>
    <row r="87" customFormat="false" ht="15" hidden="false" customHeight="false" outlineLevel="0" collapsed="false">
      <c r="A87" s="7" t="s">
        <v>989</v>
      </c>
      <c r="B87" s="12" t="s">
        <v>993</v>
      </c>
      <c r="C87" s="14" t="n">
        <v>625</v>
      </c>
      <c r="D87" s="6" t="s">
        <v>80</v>
      </c>
      <c r="E87" s="50" t="s">
        <v>922</v>
      </c>
      <c r="F87" s="6"/>
      <c r="G87" s="6"/>
      <c r="H87" s="6"/>
      <c r="I87" s="6"/>
      <c r="J87" s="12" t="s">
        <v>994</v>
      </c>
      <c r="K87" s="12" t="s">
        <v>995</v>
      </c>
    </row>
    <row r="88" customFormat="false" ht="15" hidden="false" customHeight="false" outlineLevel="0" collapsed="false">
      <c r="A88" s="7" t="s">
        <v>996</v>
      </c>
      <c r="B88" s="12" t="s">
        <v>997</v>
      </c>
      <c r="C88" s="31" t="n">
        <v>81</v>
      </c>
      <c r="D88" s="6" t="s">
        <v>86</v>
      </c>
      <c r="E88" s="50" t="s">
        <v>922</v>
      </c>
      <c r="F88" s="6"/>
      <c r="G88" s="6"/>
      <c r="H88" s="6"/>
      <c r="I88" s="6"/>
      <c r="J88" s="12" t="s">
        <v>998</v>
      </c>
      <c r="K88" s="12" t="s">
        <v>999</v>
      </c>
    </row>
    <row r="89" customFormat="false" ht="22.35" hidden="false" customHeight="false" outlineLevel="0" collapsed="false">
      <c r="A89" s="7" t="s">
        <v>996</v>
      </c>
      <c r="B89" s="12" t="s">
        <v>209</v>
      </c>
      <c r="C89" s="31" t="n">
        <v>99</v>
      </c>
      <c r="D89" s="6" t="s">
        <v>86</v>
      </c>
      <c r="E89" s="50" t="s">
        <v>922</v>
      </c>
      <c r="F89" s="6"/>
      <c r="G89" s="6"/>
      <c r="H89" s="6"/>
      <c r="I89" s="6"/>
      <c r="J89" s="12" t="s">
        <v>1000</v>
      </c>
      <c r="K89" s="12" t="s">
        <v>999</v>
      </c>
    </row>
    <row r="90" customFormat="false" ht="22.35" hidden="false" customHeight="false" outlineLevel="0" collapsed="false">
      <c r="A90" s="7" t="s">
        <v>1001</v>
      </c>
      <c r="B90" s="12" t="s">
        <v>1002</v>
      </c>
      <c r="C90" s="31" t="n">
        <v>1000</v>
      </c>
      <c r="D90" s="6" t="s">
        <v>80</v>
      </c>
      <c r="E90" s="50" t="s">
        <v>922</v>
      </c>
      <c r="F90" s="6"/>
      <c r="G90" s="6"/>
      <c r="H90" s="6"/>
      <c r="I90" s="6"/>
      <c r="J90" s="12" t="s">
        <v>523</v>
      </c>
      <c r="K90" s="12" t="s">
        <v>1003</v>
      </c>
    </row>
    <row r="91" customFormat="false" ht="22.35" hidden="false" customHeight="false" outlineLevel="0" collapsed="false">
      <c r="A91" s="7" t="s">
        <v>1001</v>
      </c>
      <c r="B91" s="12" t="s">
        <v>1004</v>
      </c>
      <c r="C91" s="31" t="n">
        <v>2250</v>
      </c>
      <c r="D91" s="6" t="s">
        <v>80</v>
      </c>
      <c r="E91" s="50" t="s">
        <v>922</v>
      </c>
      <c r="F91" s="6"/>
      <c r="G91" s="6"/>
      <c r="H91" s="6"/>
      <c r="I91" s="6"/>
      <c r="J91" s="12" t="s">
        <v>523</v>
      </c>
      <c r="K91" s="12" t="s">
        <v>1005</v>
      </c>
    </row>
    <row r="92" customFormat="false" ht="15" hidden="false" customHeight="false" outlineLevel="0" collapsed="false">
      <c r="A92" s="7" t="s">
        <v>1006</v>
      </c>
      <c r="B92" s="12" t="s">
        <v>1007</v>
      </c>
      <c r="C92" s="14" t="n">
        <v>14</v>
      </c>
      <c r="D92" s="6" t="s">
        <v>1008</v>
      </c>
      <c r="E92" s="50" t="s">
        <v>922</v>
      </c>
      <c r="F92" s="6"/>
      <c r="G92" s="6"/>
      <c r="H92" s="6"/>
      <c r="I92" s="6"/>
      <c r="J92" s="12" t="s">
        <v>1009</v>
      </c>
      <c r="K92" s="12" t="s">
        <v>1010</v>
      </c>
    </row>
    <row r="93" customFormat="false" ht="15" hidden="false" customHeight="false" outlineLevel="0" collapsed="false">
      <c r="A93" s="7" t="s">
        <v>1006</v>
      </c>
      <c r="B93" s="12" t="s">
        <v>1011</v>
      </c>
      <c r="C93" s="14" t="n">
        <v>11.1</v>
      </c>
      <c r="D93" s="6" t="s">
        <v>1008</v>
      </c>
      <c r="E93" s="50" t="s">
        <v>922</v>
      </c>
      <c r="F93" s="6"/>
      <c r="G93" s="6"/>
      <c r="H93" s="6"/>
      <c r="I93" s="6"/>
      <c r="J93" s="12" t="s">
        <v>1009</v>
      </c>
      <c r="K93" s="12" t="s">
        <v>1012</v>
      </c>
    </row>
    <row r="94" customFormat="false" ht="15" hidden="false" customHeight="false" outlineLevel="0" collapsed="false">
      <c r="A94" s="7" t="s">
        <v>1013</v>
      </c>
      <c r="B94" s="12" t="s">
        <v>1007</v>
      </c>
      <c r="C94" s="17" t="n">
        <v>0.41</v>
      </c>
      <c r="D94" s="6" t="s">
        <v>93</v>
      </c>
      <c r="E94" s="50" t="s">
        <v>922</v>
      </c>
      <c r="F94" s="6"/>
      <c r="G94" s="6"/>
      <c r="H94" s="6"/>
      <c r="I94" s="6"/>
      <c r="J94" s="12" t="s">
        <v>1009</v>
      </c>
      <c r="K94" s="12"/>
    </row>
    <row r="95" customFormat="false" ht="15" hidden="false" customHeight="false" outlineLevel="0" collapsed="false">
      <c r="A95" s="7" t="s">
        <v>1013</v>
      </c>
      <c r="B95" s="12" t="s">
        <v>1011</v>
      </c>
      <c r="C95" s="17" t="n">
        <v>0.33</v>
      </c>
      <c r="D95" s="6" t="s">
        <v>93</v>
      </c>
      <c r="E95" s="50" t="s">
        <v>922</v>
      </c>
      <c r="F95" s="6"/>
      <c r="G95" s="6"/>
      <c r="H95" s="6"/>
      <c r="I95" s="6"/>
      <c r="J95" s="12" t="s">
        <v>1009</v>
      </c>
      <c r="K95" s="12" t="s">
        <v>1014</v>
      </c>
    </row>
    <row r="96" customFormat="false" ht="22.35" hidden="false" customHeight="false" outlineLevel="0" collapsed="false">
      <c r="A96" s="7" t="s">
        <v>1015</v>
      </c>
      <c r="B96" s="12" t="s">
        <v>1016</v>
      </c>
      <c r="C96" s="31" t="n">
        <v>25</v>
      </c>
      <c r="D96" s="6" t="s">
        <v>442</v>
      </c>
      <c r="E96" s="50" t="s">
        <v>922</v>
      </c>
      <c r="F96" s="6"/>
      <c r="G96" s="6"/>
      <c r="H96" s="6"/>
      <c r="I96" s="6"/>
      <c r="J96" s="12" t="s">
        <v>837</v>
      </c>
      <c r="K96" s="12"/>
    </row>
    <row r="97" customFormat="false" ht="22.35" hidden="false" customHeight="false" outlineLevel="0" collapsed="false">
      <c r="A97" s="7" t="s">
        <v>1015</v>
      </c>
      <c r="B97" s="12" t="s">
        <v>462</v>
      </c>
      <c r="C97" s="31" t="n">
        <v>45</v>
      </c>
      <c r="D97" s="6" t="s">
        <v>442</v>
      </c>
      <c r="E97" s="50" t="s">
        <v>922</v>
      </c>
      <c r="F97" s="6"/>
      <c r="G97" s="6"/>
      <c r="H97" s="6"/>
      <c r="I97" s="6"/>
      <c r="J97" s="12" t="s">
        <v>837</v>
      </c>
      <c r="K97" s="12"/>
    </row>
    <row r="98" customFormat="false" ht="15" hidden="false" customHeight="false" outlineLevel="0" collapsed="false">
      <c r="A98" s="7" t="s">
        <v>1017</v>
      </c>
      <c r="B98" s="12" t="s">
        <v>459</v>
      </c>
      <c r="C98" s="31" t="n">
        <v>140</v>
      </c>
      <c r="D98" s="6" t="s">
        <v>458</v>
      </c>
      <c r="E98" s="50" t="s">
        <v>922</v>
      </c>
      <c r="F98" s="6"/>
      <c r="G98" s="6"/>
      <c r="H98" s="6"/>
      <c r="I98" s="6"/>
      <c r="J98" s="12" t="s">
        <v>460</v>
      </c>
      <c r="K98" s="12" t="s">
        <v>1018</v>
      </c>
    </row>
    <row r="99" customFormat="false" ht="15" hidden="false" customHeight="false" outlineLevel="0" collapsed="false">
      <c r="A99" s="7" t="s">
        <v>1017</v>
      </c>
      <c r="B99" s="12" t="s">
        <v>462</v>
      </c>
      <c r="C99" s="31" t="n">
        <v>127</v>
      </c>
      <c r="D99" s="6" t="s">
        <v>458</v>
      </c>
      <c r="E99" s="50" t="s">
        <v>922</v>
      </c>
      <c r="F99" s="6"/>
      <c r="G99" s="6"/>
      <c r="H99" s="6"/>
      <c r="I99" s="6"/>
      <c r="J99" s="12" t="s">
        <v>460</v>
      </c>
      <c r="K99" s="12" t="s">
        <v>1019</v>
      </c>
    </row>
    <row r="100" customFormat="false" ht="15" hidden="false" customHeight="false" outlineLevel="0" collapsed="false">
      <c r="A100" s="7" t="s">
        <v>1020</v>
      </c>
      <c r="B100" s="12" t="s">
        <v>465</v>
      </c>
      <c r="C100" s="31" t="n">
        <v>88</v>
      </c>
      <c r="D100" s="6" t="s">
        <v>464</v>
      </c>
      <c r="E100" s="50" t="s">
        <v>922</v>
      </c>
      <c r="F100" s="6"/>
      <c r="G100" s="6"/>
      <c r="H100" s="6"/>
      <c r="I100" s="6"/>
      <c r="J100" s="12" t="s">
        <v>460</v>
      </c>
      <c r="K100" s="12" t="s">
        <v>1021</v>
      </c>
    </row>
    <row r="101" customFormat="false" ht="15" hidden="false" customHeight="false" outlineLevel="0" collapsed="false">
      <c r="A101" s="7" t="s">
        <v>1020</v>
      </c>
      <c r="B101" s="12" t="s">
        <v>467</v>
      </c>
      <c r="C101" s="31" t="n">
        <v>82</v>
      </c>
      <c r="D101" s="6" t="s">
        <v>464</v>
      </c>
      <c r="E101" s="50" t="s">
        <v>922</v>
      </c>
      <c r="F101" s="6"/>
      <c r="G101" s="6"/>
      <c r="H101" s="6"/>
      <c r="I101" s="6"/>
      <c r="J101" s="12" t="s">
        <v>460</v>
      </c>
      <c r="K101" s="12" t="s">
        <v>1021</v>
      </c>
    </row>
    <row r="102" customFormat="false" ht="15" hidden="false" customHeight="false" outlineLevel="0" collapsed="false">
      <c r="A102" s="7" t="s">
        <v>1022</v>
      </c>
      <c r="B102" s="12" t="s">
        <v>467</v>
      </c>
      <c r="C102" s="31" t="n">
        <v>322</v>
      </c>
      <c r="D102" s="6" t="s">
        <v>469</v>
      </c>
      <c r="E102" s="50" t="s">
        <v>922</v>
      </c>
      <c r="F102" s="6"/>
      <c r="G102" s="6"/>
      <c r="H102" s="6"/>
      <c r="I102" s="6"/>
      <c r="J102" s="12" t="s">
        <v>460</v>
      </c>
      <c r="K102" s="12" t="s">
        <v>1023</v>
      </c>
    </row>
    <row r="103" customFormat="false" ht="22.35" hidden="false" customHeight="false" outlineLevel="0" collapsed="false">
      <c r="A103" s="7" t="s">
        <v>1024</v>
      </c>
      <c r="B103" s="12" t="s">
        <v>214</v>
      </c>
      <c r="C103" s="17" t="n">
        <v>0.051</v>
      </c>
      <c r="D103" s="6" t="s">
        <v>93</v>
      </c>
      <c r="E103" s="50" t="s">
        <v>922</v>
      </c>
      <c r="F103" s="6"/>
      <c r="G103" s="6"/>
      <c r="H103" s="6"/>
      <c r="I103" s="6"/>
      <c r="J103" s="12" t="s">
        <v>1025</v>
      </c>
      <c r="K103" s="12" t="s">
        <v>1026</v>
      </c>
    </row>
    <row r="104" customFormat="false" ht="15" hidden="false" customHeight="false" outlineLevel="0" collapsed="false">
      <c r="A104" s="7" t="s">
        <v>216</v>
      </c>
      <c r="B104" s="12" t="s">
        <v>217</v>
      </c>
      <c r="C104" s="17" t="n">
        <v>0.242</v>
      </c>
      <c r="D104" s="6" t="s">
        <v>93</v>
      </c>
      <c r="E104" s="50" t="s">
        <v>922</v>
      </c>
      <c r="F104" s="6"/>
      <c r="G104" s="6"/>
      <c r="H104" s="6"/>
      <c r="I104" s="6"/>
      <c r="J104" s="12" t="s">
        <v>218</v>
      </c>
      <c r="K104" s="12" t="s">
        <v>1027</v>
      </c>
    </row>
    <row r="105" customFormat="false" ht="15" hidden="false" customHeight="false" outlineLevel="0" collapsed="false">
      <c r="A105" s="7" t="s">
        <v>219</v>
      </c>
      <c r="B105" s="12" t="s">
        <v>220</v>
      </c>
      <c r="C105" s="17" t="n">
        <v>0.06</v>
      </c>
      <c r="D105" s="6" t="s">
        <v>93</v>
      </c>
      <c r="E105" s="50" t="s">
        <v>922</v>
      </c>
      <c r="F105" s="6"/>
      <c r="G105" s="6"/>
      <c r="H105" s="6"/>
      <c r="I105" s="6"/>
      <c r="J105" s="12" t="s">
        <v>218</v>
      </c>
      <c r="K105" s="12" t="s">
        <v>1027</v>
      </c>
    </row>
    <row r="106" customFormat="false" ht="15" hidden="false" customHeight="false" outlineLevel="0" collapsed="false">
      <c r="A106" s="7" t="s">
        <v>221</v>
      </c>
      <c r="B106" s="12" t="s">
        <v>220</v>
      </c>
      <c r="C106" s="17" t="n">
        <v>0.048</v>
      </c>
      <c r="D106" s="6" t="s">
        <v>93</v>
      </c>
      <c r="E106" s="50" t="s">
        <v>922</v>
      </c>
      <c r="F106" s="6"/>
      <c r="G106" s="6"/>
      <c r="H106" s="6"/>
      <c r="I106" s="6"/>
      <c r="J106" s="12" t="s">
        <v>218</v>
      </c>
      <c r="K106" s="12" t="s">
        <v>1027</v>
      </c>
    </row>
    <row r="107" customFormat="false" ht="15" hidden="false" customHeight="false" outlineLevel="0" collapsed="false">
      <c r="A107" s="7" t="s">
        <v>227</v>
      </c>
      <c r="B107" s="12" t="s">
        <v>228</v>
      </c>
      <c r="C107" s="17" t="n">
        <v>0.195</v>
      </c>
      <c r="D107" s="6" t="s">
        <v>93</v>
      </c>
      <c r="E107" s="50" t="s">
        <v>922</v>
      </c>
      <c r="F107" s="6"/>
      <c r="G107" s="6"/>
      <c r="H107" s="6"/>
      <c r="I107" s="6"/>
      <c r="J107" s="12" t="s">
        <v>218</v>
      </c>
      <c r="K107" s="12"/>
    </row>
    <row r="108" customFormat="false" ht="15" hidden="false" customHeight="false" outlineLevel="0" collapsed="false">
      <c r="A108" s="7" t="s">
        <v>1028</v>
      </c>
      <c r="B108" s="12" t="s">
        <v>228</v>
      </c>
      <c r="C108" s="14" t="n">
        <v>6.4</v>
      </c>
      <c r="D108" s="6" t="s">
        <v>86</v>
      </c>
      <c r="E108" s="50" t="s">
        <v>922</v>
      </c>
      <c r="F108" s="6"/>
      <c r="G108" s="6"/>
      <c r="H108" s="6"/>
      <c r="I108" s="6"/>
      <c r="J108" s="12" t="s">
        <v>218</v>
      </c>
      <c r="K108" s="12"/>
    </row>
  </sheetData>
  <autoFilter ref="A47:K108"/>
  <hyperlinks>
    <hyperlink ref="K7" r:id="rId1" display="see period columns"/>
    <hyperlink ref="E48" r:id="rId2" display="link"/>
    <hyperlink ref="E49" r:id="rId3" display="link"/>
    <hyperlink ref="E50" r:id="rId4" display="link"/>
    <hyperlink ref="E51" r:id="rId5" display="link"/>
    <hyperlink ref="E52" r:id="rId6" display="link"/>
    <hyperlink ref="E53" r:id="rId7" display="link"/>
    <hyperlink ref="E54" r:id="rId8" display="link"/>
    <hyperlink ref="E55" r:id="rId9" display="link"/>
    <hyperlink ref="E56" r:id="rId10" display="link"/>
    <hyperlink ref="E57" r:id="rId11" display="link"/>
    <hyperlink ref="E58" r:id="rId12" display="link"/>
    <hyperlink ref="E59" r:id="rId13" display="link"/>
    <hyperlink ref="E60" r:id="rId14" display="link"/>
    <hyperlink ref="E61" r:id="rId15" display="link"/>
    <hyperlink ref="E62" r:id="rId16" display="link"/>
    <hyperlink ref="E63" r:id="rId17" display="link"/>
    <hyperlink ref="E64" r:id="rId18" display="link"/>
    <hyperlink ref="E65" r:id="rId19" display="link"/>
    <hyperlink ref="E66" r:id="rId20" display="link"/>
    <hyperlink ref="E67" r:id="rId21" display="link"/>
    <hyperlink ref="E68" r:id="rId22" display="link"/>
    <hyperlink ref="E69" r:id="rId23" display="link"/>
    <hyperlink ref="E70" r:id="rId24" display="link"/>
    <hyperlink ref="E71" r:id="rId25" display="link"/>
    <hyperlink ref="E72" r:id="rId26" display="link"/>
    <hyperlink ref="E73" r:id="rId27" display="link"/>
    <hyperlink ref="E74" r:id="rId28" display="link"/>
    <hyperlink ref="E75" r:id="rId29" display="link"/>
    <hyperlink ref="E76" r:id="rId30" display="link"/>
    <hyperlink ref="E77" r:id="rId31" display="link"/>
    <hyperlink ref="E78" r:id="rId32" display="link"/>
    <hyperlink ref="E79" r:id="rId33" display="link"/>
    <hyperlink ref="E80" r:id="rId34" display="link"/>
    <hyperlink ref="E81" r:id="rId35" display="link"/>
    <hyperlink ref="E82" r:id="rId36" display="link"/>
    <hyperlink ref="E83" r:id="rId37" display="link"/>
    <hyperlink ref="E84" r:id="rId38" display="link"/>
    <hyperlink ref="E85" r:id="rId39" display="link"/>
    <hyperlink ref="E86" r:id="rId40" display="link"/>
    <hyperlink ref="E87" r:id="rId41" display="link"/>
    <hyperlink ref="E88" r:id="rId42" display="link"/>
    <hyperlink ref="E89" r:id="rId43" display="link"/>
    <hyperlink ref="E90" r:id="rId44" display="link"/>
    <hyperlink ref="E91" r:id="rId45" display="link"/>
    <hyperlink ref="E92" r:id="rId46" display="link"/>
    <hyperlink ref="E93" r:id="rId47" display="link"/>
    <hyperlink ref="E94" r:id="rId48" display="link"/>
    <hyperlink ref="E95" r:id="rId49" display="link"/>
    <hyperlink ref="E96" r:id="rId50" display="link"/>
    <hyperlink ref="E97" r:id="rId51" display="link"/>
    <hyperlink ref="E98" r:id="rId52" display="link"/>
    <hyperlink ref="E99" r:id="rId53" display="link"/>
    <hyperlink ref="E100" r:id="rId54" display="link"/>
    <hyperlink ref="E101" r:id="rId55" display="link"/>
    <hyperlink ref="E102" r:id="rId56" display="link"/>
    <hyperlink ref="E103" r:id="rId57" display="link"/>
    <hyperlink ref="E104" r:id="rId58" display="link"/>
    <hyperlink ref="E105" r:id="rId59" display="link"/>
    <hyperlink ref="E106" r:id="rId60" display="link"/>
    <hyperlink ref="E107" r:id="rId61" display="link"/>
    <hyperlink ref="E108" r:id="rId62" display="lin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2724A"/>
    <pageSetUpPr fitToPage="false"/>
  </sheetPr>
  <dimension ref="A1:L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3" min="2" style="0" width="13"/>
    <col collapsed="false" customWidth="true" hidden="false" outlineLevel="0" max="8" min="4" style="0" width="12"/>
    <col collapsed="false" customWidth="true" hidden="false" outlineLevel="0" max="9" min="9" style="0" width="11"/>
    <col collapsed="false" customWidth="true" hidden="false" outlineLevel="0" max="11" min="10" style="0" width="12"/>
    <col collapsed="false" customWidth="true" hidden="false" outlineLevel="0" max="12" min="12" style="0" width="14"/>
  </cols>
  <sheetData>
    <row r="1" customFormat="false" ht="21.75" hidden="false" customHeight="true" outlineLevel="0" collapsed="false">
      <c r="A1" s="1" t="s">
        <v>1029</v>
      </c>
    </row>
    <row r="2" customFormat="false" ht="15" hidden="false" customHeight="false" outlineLevel="0" collapsed="false">
      <c r="A2" s="2" t="s">
        <v>1030</v>
      </c>
    </row>
    <row r="4" customFormat="false" ht="15" hidden="false" customHeight="false" outlineLevel="0" collapsed="false">
      <c r="A4" s="3" t="s">
        <v>545</v>
      </c>
    </row>
    <row r="5" customFormat="false" ht="30" hidden="false" customHeight="true" outlineLevel="0" collapsed="false">
      <c r="A5" s="5" t="s">
        <v>1031</v>
      </c>
      <c r="B5" s="5" t="s">
        <v>879</v>
      </c>
      <c r="C5" s="5" t="s">
        <v>666</v>
      </c>
      <c r="D5" s="5" t="s">
        <v>554</v>
      </c>
      <c r="E5" s="5" t="s">
        <v>557</v>
      </c>
      <c r="F5" s="5" t="s">
        <v>604</v>
      </c>
      <c r="G5" s="5" t="s">
        <v>640</v>
      </c>
      <c r="H5" s="5" t="s">
        <v>563</v>
      </c>
      <c r="I5" s="5" t="s">
        <v>564</v>
      </c>
      <c r="J5" s="5" t="s">
        <v>1032</v>
      </c>
      <c r="K5" s="5" t="s">
        <v>1033</v>
      </c>
      <c r="L5" s="5" t="s">
        <v>164</v>
      </c>
    </row>
    <row r="6" customFormat="false" ht="15" hidden="false" customHeight="false" outlineLevel="0" collapsed="false">
      <c r="A6" s="7" t="s">
        <v>1034</v>
      </c>
      <c r="B6" s="12" t="s">
        <v>1035</v>
      </c>
      <c r="C6" s="12" t="s">
        <v>1036</v>
      </c>
      <c r="D6" s="14" t="n">
        <v>1297.6</v>
      </c>
      <c r="E6" s="14" t="n">
        <v>325.2</v>
      </c>
      <c r="F6" s="26" t="n">
        <f aca="false">E6/D6</f>
        <v>0.250616522811344</v>
      </c>
      <c r="G6" s="14" t="n">
        <v>175</v>
      </c>
      <c r="H6" s="14" t="n">
        <v>99.8</v>
      </c>
      <c r="I6" s="14" t="n">
        <v>9.5</v>
      </c>
      <c r="J6" s="42" t="n">
        <v>-0.14</v>
      </c>
      <c r="K6" s="43"/>
      <c r="L6" s="49" t="s">
        <v>1037</v>
      </c>
    </row>
    <row r="7" customFormat="false" ht="15" hidden="false" customHeight="false" outlineLevel="0" collapsed="false">
      <c r="A7" s="7" t="s">
        <v>1038</v>
      </c>
      <c r="B7" s="12" t="s">
        <v>1039</v>
      </c>
      <c r="C7" s="12" t="s">
        <v>1040</v>
      </c>
      <c r="D7" s="14" t="n">
        <v>1404.8</v>
      </c>
      <c r="E7" s="14" t="n">
        <v>370.6</v>
      </c>
      <c r="F7" s="26" t="n">
        <f aca="false">E7/D7</f>
        <v>0.263809794988611</v>
      </c>
      <c r="G7" s="14" t="n">
        <v>183.3</v>
      </c>
      <c r="H7" s="14" t="n">
        <v>147.5</v>
      </c>
      <c r="I7" s="14" t="n">
        <v>64.4</v>
      </c>
      <c r="J7" s="42" t="n">
        <v>0.39</v>
      </c>
      <c r="K7" s="43"/>
      <c r="L7" s="49" t="s">
        <v>1037</v>
      </c>
    </row>
    <row r="8" customFormat="false" ht="15" hidden="false" customHeight="false" outlineLevel="0" collapsed="false">
      <c r="A8" s="7" t="s">
        <v>1041</v>
      </c>
      <c r="B8" s="12" t="s">
        <v>880</v>
      </c>
      <c r="C8" s="12" t="s">
        <v>1042</v>
      </c>
      <c r="D8" s="14" t="n">
        <v>1246</v>
      </c>
      <c r="E8" s="14" t="n">
        <v>327</v>
      </c>
      <c r="F8" s="26" t="n">
        <f aca="false">E8/D8</f>
        <v>0.262439807383628</v>
      </c>
      <c r="G8" s="14" t="n">
        <v>145</v>
      </c>
      <c r="H8" s="14" t="n">
        <v>109</v>
      </c>
      <c r="I8" s="14" t="n">
        <v>79</v>
      </c>
      <c r="J8" s="42" t="n">
        <v>0.28</v>
      </c>
      <c r="K8" s="43"/>
      <c r="L8" s="49" t="s">
        <v>1037</v>
      </c>
    </row>
    <row r="9" customFormat="false" ht="15" hidden="false" customHeight="false" outlineLevel="0" collapsed="false">
      <c r="A9" s="7" t="s">
        <v>1043</v>
      </c>
      <c r="B9" s="12" t="s">
        <v>1044</v>
      </c>
      <c r="C9" s="12" t="s">
        <v>1045</v>
      </c>
      <c r="D9" s="14" t="n">
        <v>1598</v>
      </c>
      <c r="E9" s="14" t="n">
        <v>421</v>
      </c>
      <c r="F9" s="26" t="n">
        <f aca="false">E9/D9</f>
        <v>0.263454317897372</v>
      </c>
      <c r="G9" s="14" t="n">
        <v>216</v>
      </c>
      <c r="H9" s="14" t="n">
        <v>180</v>
      </c>
      <c r="I9" s="14" t="n">
        <v>86</v>
      </c>
      <c r="J9" s="42" t="n">
        <v>0.5</v>
      </c>
      <c r="K9" s="43" t="n">
        <f aca="false">SUM(D6:D9)</f>
        <v>5546.4</v>
      </c>
      <c r="L9" s="49" t="s">
        <v>1037</v>
      </c>
    </row>
    <row r="10" customFormat="false" ht="15" hidden="false" customHeight="false" outlineLevel="0" collapsed="false">
      <c r="A10" s="7" t="s">
        <v>1046</v>
      </c>
      <c r="B10" s="12" t="s">
        <v>906</v>
      </c>
      <c r="C10" s="12" t="s">
        <v>1047</v>
      </c>
      <c r="D10" s="14" t="n">
        <v>1861</v>
      </c>
      <c r="E10" s="14" t="n">
        <v>501</v>
      </c>
      <c r="F10" s="26" t="n">
        <f aca="false">E10/D10</f>
        <v>0.269210102095648</v>
      </c>
      <c r="G10" s="14" t="n">
        <v>271</v>
      </c>
      <c r="H10" s="14" t="n">
        <v>237</v>
      </c>
      <c r="I10" s="14" t="n">
        <v>115</v>
      </c>
      <c r="J10" s="42" t="n">
        <v>0.67</v>
      </c>
      <c r="K10" s="43" t="n">
        <f aca="false">SUM(D7:D10)</f>
        <v>6109.8</v>
      </c>
      <c r="L10" s="49" t="s">
        <v>1037</v>
      </c>
    </row>
    <row r="11" customFormat="false" ht="15" hidden="false" customHeight="false" outlineLevel="0" collapsed="false">
      <c r="A11" s="7" t="s">
        <v>1048</v>
      </c>
      <c r="B11" s="12" t="s">
        <v>1049</v>
      </c>
      <c r="C11" s="12" t="s">
        <v>1050</v>
      </c>
      <c r="D11" s="14" t="n">
        <v>1818</v>
      </c>
      <c r="E11" s="14" t="n">
        <v>500</v>
      </c>
      <c r="F11" s="26" t="n">
        <f aca="false">E11/D11</f>
        <v>0.275027502750275</v>
      </c>
      <c r="G11" s="14" t="n">
        <v>344</v>
      </c>
      <c r="H11" s="14" t="n">
        <v>234</v>
      </c>
      <c r="I11" s="14" t="n">
        <v>111</v>
      </c>
      <c r="J11" s="42" t="n">
        <v>0.65</v>
      </c>
      <c r="K11" s="43" t="n">
        <f aca="false">SUM(D8:D11)</f>
        <v>6523</v>
      </c>
      <c r="L11" s="49" t="s">
        <v>1037</v>
      </c>
    </row>
    <row r="12" customFormat="false" ht="15" hidden="false" customHeight="false" outlineLevel="0" collapsed="false">
      <c r="A12" s="7" t="s">
        <v>1051</v>
      </c>
      <c r="B12" s="12" t="s">
        <v>881</v>
      </c>
      <c r="C12" s="12" t="s">
        <v>1052</v>
      </c>
      <c r="D12" s="14" t="n">
        <v>1374</v>
      </c>
      <c r="E12" s="14" t="n">
        <v>373</v>
      </c>
      <c r="F12" s="26" t="n">
        <f aca="false">E12/D12</f>
        <v>0.271470160116448</v>
      </c>
      <c r="G12" s="14" t="n">
        <v>160</v>
      </c>
      <c r="H12" s="14" t="n">
        <v>124</v>
      </c>
      <c r="I12" s="14" t="n">
        <v>84</v>
      </c>
      <c r="J12" s="42" t="n">
        <v>0.31</v>
      </c>
      <c r="K12" s="43" t="n">
        <f aca="false">SUM(D9:D12)</f>
        <v>6651</v>
      </c>
      <c r="L12" s="49" t="s">
        <v>1037</v>
      </c>
    </row>
    <row r="13" customFormat="false" ht="15" hidden="false" customHeight="false" outlineLevel="0" collapsed="false">
      <c r="A13" s="7" t="s">
        <v>1053</v>
      </c>
      <c r="B13" s="12" t="s">
        <v>1054</v>
      </c>
      <c r="C13" s="12" t="s">
        <v>1055</v>
      </c>
      <c r="D13" s="14" t="n">
        <v>1574</v>
      </c>
      <c r="E13" s="14" t="n">
        <v>439</v>
      </c>
      <c r="F13" s="26" t="n">
        <f aca="false">E13/D13</f>
        <v>0.278907242693774</v>
      </c>
      <c r="G13" s="14" t="n">
        <v>217</v>
      </c>
      <c r="H13" s="14" t="n">
        <v>181</v>
      </c>
      <c r="I13" s="14" t="n">
        <v>86</v>
      </c>
      <c r="J13" s="42" t="n">
        <v>0.5</v>
      </c>
      <c r="K13" s="43" t="n">
        <f aca="false">SUM(D10:D13)</f>
        <v>6627</v>
      </c>
      <c r="L13" s="49" t="s">
        <v>1037</v>
      </c>
    </row>
    <row r="14" customFormat="false" ht="15" hidden="false" customHeight="false" outlineLevel="0" collapsed="false">
      <c r="A14" s="7" t="s">
        <v>1056</v>
      </c>
      <c r="B14" s="12" t="s">
        <v>1057</v>
      </c>
      <c r="C14" s="12" t="s">
        <v>1058</v>
      </c>
      <c r="D14" s="14" t="n">
        <v>1861</v>
      </c>
      <c r="E14" s="14" t="n">
        <v>501</v>
      </c>
      <c r="F14" s="26" t="n">
        <f aca="false">E14/D14</f>
        <v>0.269210102095648</v>
      </c>
      <c r="G14" s="14" t="n">
        <v>301</v>
      </c>
      <c r="H14" s="14" t="n">
        <v>226</v>
      </c>
      <c r="I14" s="14" t="n">
        <v>110</v>
      </c>
      <c r="J14" s="42" t="n">
        <v>0.66</v>
      </c>
      <c r="K14" s="43" t="n">
        <f aca="false">SUM(D11:D14)</f>
        <v>6627</v>
      </c>
      <c r="L14" s="49" t="s">
        <v>1037</v>
      </c>
    </row>
    <row r="15" customFormat="false" ht="15" hidden="false" customHeight="false" outlineLevel="0" collapsed="false">
      <c r="A15" s="7" t="s">
        <v>1059</v>
      </c>
      <c r="B15" s="12" t="s">
        <v>1060</v>
      </c>
      <c r="C15" s="12" t="s">
        <v>1061</v>
      </c>
      <c r="D15" s="14" t="n">
        <v>1827</v>
      </c>
      <c r="E15" s="14" t="n">
        <v>494</v>
      </c>
      <c r="F15" s="26" t="n">
        <f aca="false">E15/D15</f>
        <v>0.270388615216201</v>
      </c>
      <c r="G15" s="14" t="n">
        <v>255</v>
      </c>
      <c r="H15" s="14" t="n">
        <v>217</v>
      </c>
      <c r="I15" s="14" t="n">
        <v>112</v>
      </c>
      <c r="J15" s="42" t="n">
        <v>0.65</v>
      </c>
      <c r="K15" s="43" t="n">
        <f aca="false">SUM(D12:D15)</f>
        <v>6636</v>
      </c>
      <c r="L15" s="49" t="s">
        <v>1037</v>
      </c>
    </row>
    <row r="16" customFormat="false" ht="15" hidden="false" customHeight="false" outlineLevel="0" collapsed="false">
      <c r="A16" s="7" t="s">
        <v>1062</v>
      </c>
      <c r="B16" s="12" t="s">
        <v>882</v>
      </c>
      <c r="C16" s="12" t="s">
        <v>1063</v>
      </c>
      <c r="D16" s="14" t="n">
        <v>1440</v>
      </c>
      <c r="E16" s="14" t="n">
        <v>384</v>
      </c>
      <c r="F16" s="26" t="n">
        <f aca="false">E16/D16</f>
        <v>0.266666666666667</v>
      </c>
      <c r="G16" s="14" t="n">
        <v>154</v>
      </c>
      <c r="H16" s="14" t="n">
        <v>116</v>
      </c>
      <c r="I16" s="14" t="n">
        <v>63</v>
      </c>
      <c r="J16" s="42" t="n">
        <v>0.34</v>
      </c>
      <c r="K16" s="43" t="n">
        <f aca="false">SUM(D13:D16)</f>
        <v>6702</v>
      </c>
      <c r="L16" s="49" t="s">
        <v>1037</v>
      </c>
    </row>
    <row r="17" customFormat="false" ht="15" hidden="false" customHeight="false" outlineLevel="0" collapsed="false">
      <c r="A17" s="7" t="s">
        <v>1064</v>
      </c>
      <c r="B17" s="12" t="s">
        <v>1065</v>
      </c>
      <c r="C17" s="12" t="s">
        <v>1066</v>
      </c>
      <c r="D17" s="14" t="n">
        <v>1741</v>
      </c>
      <c r="E17" s="14" t="n">
        <v>468</v>
      </c>
      <c r="F17" s="26" t="n">
        <f aca="false">E17/D17</f>
        <v>0.268811028144744</v>
      </c>
      <c r="G17" s="14" t="n">
        <v>212</v>
      </c>
      <c r="H17" s="14" t="n">
        <v>168</v>
      </c>
      <c r="I17" s="14" t="n">
        <v>95</v>
      </c>
      <c r="J17" s="42" t="n">
        <v>0.49</v>
      </c>
      <c r="K17" s="43" t="n">
        <f aca="false">SUM(D14:D17)</f>
        <v>6869</v>
      </c>
      <c r="L17" s="49" t="s">
        <v>1037</v>
      </c>
    </row>
    <row r="18" customFormat="false" ht="15" hidden="false" customHeight="false" outlineLevel="0" collapsed="false">
      <c r="A18" s="7" t="s">
        <v>1067</v>
      </c>
      <c r="B18" s="12" t="s">
        <v>1068</v>
      </c>
      <c r="C18" s="12" t="s">
        <v>1069</v>
      </c>
      <c r="D18" s="14" t="n">
        <v>1964</v>
      </c>
      <c r="E18" s="14" t="n">
        <v>518</v>
      </c>
      <c r="F18" s="26" t="n">
        <f aca="false">E18/D18</f>
        <v>0.263747454175153</v>
      </c>
      <c r="G18" s="14" t="n">
        <v>250</v>
      </c>
      <c r="H18" s="14" t="n">
        <v>204</v>
      </c>
      <c r="I18" s="14" t="n">
        <v>126</v>
      </c>
      <c r="J18" s="42" t="n">
        <v>0.61</v>
      </c>
      <c r="K18" s="43" t="n">
        <f aca="false">SUM(D15:D18)</f>
        <v>6972</v>
      </c>
      <c r="L18" s="49" t="s">
        <v>1037</v>
      </c>
    </row>
    <row r="19" customFormat="false" ht="15" hidden="false" customHeight="false" outlineLevel="0" collapsed="false">
      <c r="A19" s="7" t="s">
        <v>1070</v>
      </c>
      <c r="B19" s="12" t="s">
        <v>1071</v>
      </c>
      <c r="C19" s="12" t="s">
        <v>1072</v>
      </c>
      <c r="D19" s="14" t="n">
        <v>2038</v>
      </c>
      <c r="E19" s="14" t="n">
        <v>543</v>
      </c>
      <c r="F19" s="26" t="n">
        <f aca="false">E19/D19</f>
        <v>0.266437684003925</v>
      </c>
      <c r="G19" s="14" t="n">
        <v>367</v>
      </c>
      <c r="H19" s="14" t="n">
        <v>223</v>
      </c>
      <c r="I19" s="14" t="n">
        <v>140</v>
      </c>
      <c r="J19" s="42" t="n">
        <v>0.69</v>
      </c>
      <c r="K19" s="43" t="n">
        <f aca="false">SUM(D16:D19)</f>
        <v>7183</v>
      </c>
      <c r="L19" s="49" t="s">
        <v>1037</v>
      </c>
    </row>
    <row r="20" customFormat="false" ht="15" hidden="false" customHeight="false" outlineLevel="0" collapsed="false">
      <c r="A20" s="7" t="s">
        <v>1073</v>
      </c>
      <c r="B20" s="12" t="s">
        <v>883</v>
      </c>
      <c r="C20" s="12" t="s">
        <v>1074</v>
      </c>
      <c r="D20" s="14" t="n">
        <v>1698</v>
      </c>
      <c r="E20" s="14" t="n">
        <v>451</v>
      </c>
      <c r="F20" s="26" t="n">
        <f aca="false">E20/D20</f>
        <v>0.265606595995289</v>
      </c>
      <c r="G20" s="14" t="n">
        <v>318</v>
      </c>
      <c r="H20" s="14" t="n">
        <v>124</v>
      </c>
      <c r="I20" s="14" t="n">
        <v>67</v>
      </c>
      <c r="J20" s="42" t="n">
        <v>0.33</v>
      </c>
      <c r="K20" s="43" t="n">
        <f aca="false">SUM(D17:D20)</f>
        <v>7441</v>
      </c>
      <c r="L20" s="49" t="s">
        <v>1037</v>
      </c>
    </row>
    <row r="21" customFormat="false" ht="15" hidden="false" customHeight="false" outlineLevel="0" collapsed="false">
      <c r="A21" s="7" t="s">
        <v>1075</v>
      </c>
      <c r="B21" s="12" t="s">
        <v>1076</v>
      </c>
      <c r="C21" s="12" t="s">
        <v>1077</v>
      </c>
      <c r="D21" s="14" t="n">
        <v>1911</v>
      </c>
      <c r="E21" s="14" t="n">
        <v>510</v>
      </c>
      <c r="F21" s="26" t="n">
        <f aca="false">E21/D21</f>
        <v>0.266875981161696</v>
      </c>
      <c r="G21" s="14" t="n">
        <v>219</v>
      </c>
      <c r="H21" s="14" t="n">
        <v>171</v>
      </c>
      <c r="I21" s="14" t="n">
        <v>100</v>
      </c>
      <c r="J21" s="42" t="n">
        <v>0.52</v>
      </c>
      <c r="K21" s="43" t="n">
        <f aca="false">SUM(D18:D21)</f>
        <v>7611</v>
      </c>
      <c r="L21" s="49" t="s">
        <v>1037</v>
      </c>
    </row>
    <row r="22" customFormat="false" ht="15" hidden="false" customHeight="false" outlineLevel="0" collapsed="false">
      <c r="A22" s="7" t="s">
        <v>1078</v>
      </c>
      <c r="B22" s="12" t="s">
        <v>1079</v>
      </c>
      <c r="C22" s="12" t="s">
        <v>1080</v>
      </c>
      <c r="D22" s="14" t="n">
        <v>2093</v>
      </c>
      <c r="E22" s="14" t="n">
        <v>560</v>
      </c>
      <c r="F22" s="26" t="n">
        <f aca="false">E22/D22</f>
        <v>0.267558528428094</v>
      </c>
      <c r="G22" s="14" t="n">
        <v>259</v>
      </c>
      <c r="H22" s="14" t="n">
        <v>213</v>
      </c>
      <c r="I22" s="14" t="n">
        <v>141</v>
      </c>
      <c r="J22" s="42" t="n">
        <v>0.7</v>
      </c>
      <c r="K22" s="43" t="n">
        <f aca="false">SUM(D19:D22)</f>
        <v>7740</v>
      </c>
      <c r="L22" s="49" t="s">
        <v>1037</v>
      </c>
    </row>
    <row r="23" customFormat="false" ht="15" hidden="false" customHeight="false" outlineLevel="0" collapsed="false">
      <c r="A23" s="7" t="s">
        <v>1081</v>
      </c>
      <c r="B23" s="12" t="s">
        <v>1082</v>
      </c>
      <c r="C23" s="12" t="s">
        <v>1083</v>
      </c>
      <c r="D23" s="14" t="n">
        <v>2062</v>
      </c>
      <c r="E23" s="14" t="n">
        <v>561</v>
      </c>
      <c r="F23" s="26" t="n">
        <f aca="false">E23/D23</f>
        <v>0.272065955383123</v>
      </c>
      <c r="G23" s="14" t="n">
        <v>267</v>
      </c>
      <c r="H23" s="14" t="n">
        <v>220</v>
      </c>
      <c r="I23" s="14" t="n">
        <v>143</v>
      </c>
      <c r="J23" s="42" t="n">
        <v>0.72</v>
      </c>
      <c r="K23" s="43" t="n">
        <f aca="false">SUM(D20:D23)</f>
        <v>7764</v>
      </c>
      <c r="L23" s="49" t="s">
        <v>1037</v>
      </c>
    </row>
    <row r="24" customFormat="false" ht="15" hidden="false" customHeight="false" outlineLevel="0" collapsed="false">
      <c r="A24" s="7" t="s">
        <v>1084</v>
      </c>
      <c r="B24" s="12" t="s">
        <v>884</v>
      </c>
      <c r="C24" s="12" t="s">
        <v>1085</v>
      </c>
      <c r="D24" s="14" t="n">
        <v>1581</v>
      </c>
      <c r="E24" s="14" t="n">
        <v>428</v>
      </c>
      <c r="F24" s="26" t="n">
        <f aca="false">E24/D24</f>
        <v>0.270714737507906</v>
      </c>
      <c r="G24" s="14" t="n">
        <v>169</v>
      </c>
      <c r="H24" s="14" t="n">
        <v>118</v>
      </c>
      <c r="I24" s="14" t="n">
        <v>73</v>
      </c>
      <c r="J24" s="42" t="n">
        <v>0.37</v>
      </c>
      <c r="K24" s="43" t="n">
        <f aca="false">SUM(D21:D24)</f>
        <v>7647</v>
      </c>
      <c r="L24" s="49" t="s">
        <v>1037</v>
      </c>
    </row>
    <row r="25" customFormat="false" ht="15" hidden="false" customHeight="false" outlineLevel="0" collapsed="false">
      <c r="A25" s="7" t="s">
        <v>1086</v>
      </c>
      <c r="B25" s="12" t="s">
        <v>1087</v>
      </c>
      <c r="C25" s="12" t="s">
        <v>1088</v>
      </c>
      <c r="D25" s="14" t="n">
        <v>1910</v>
      </c>
      <c r="E25" s="14" t="n">
        <v>520</v>
      </c>
      <c r="F25" s="26" t="n">
        <f aca="false">E25/D25</f>
        <v>0.272251308900524</v>
      </c>
      <c r="G25" s="14" t="n">
        <v>223</v>
      </c>
      <c r="H25" s="14" t="n">
        <v>177</v>
      </c>
      <c r="I25" s="14" t="n">
        <v>113</v>
      </c>
      <c r="J25" s="42" t="n">
        <v>0.57</v>
      </c>
      <c r="K25" s="43" t="n">
        <f aca="false">SUM(D22:D25)</f>
        <v>7646</v>
      </c>
      <c r="L25" s="49" t="s">
        <v>1037</v>
      </c>
    </row>
    <row r="27" customFormat="false" ht="15" hidden="false" customHeight="false" outlineLevel="0" collapsed="false">
      <c r="A27" s="3" t="s">
        <v>1089</v>
      </c>
    </row>
    <row r="28" customFormat="false" ht="30" hidden="false" customHeight="true" outlineLevel="0" collapsed="false">
      <c r="A28" s="5" t="s">
        <v>1090</v>
      </c>
      <c r="B28" s="5" t="s">
        <v>1091</v>
      </c>
      <c r="C28" s="5" t="s">
        <v>1092</v>
      </c>
      <c r="D28" s="5" t="s">
        <v>1093</v>
      </c>
      <c r="E28" s="5"/>
      <c r="F28" s="5"/>
      <c r="G28" s="5"/>
      <c r="H28" s="5"/>
      <c r="I28" s="5"/>
      <c r="J28" s="5"/>
      <c r="K28" s="5"/>
      <c r="L28" s="5" t="s">
        <v>1094</v>
      </c>
    </row>
    <row r="29" customFormat="false" ht="15" hidden="false" customHeight="false" outlineLevel="0" collapsed="false">
      <c r="A29" s="7" t="s">
        <v>876</v>
      </c>
      <c r="B29" s="15" t="n">
        <f aca="false">SUM(D9:D12)</f>
        <v>6651</v>
      </c>
      <c r="C29" s="46" t="n">
        <f aca="false">Annual!C7</f>
        <v>6651</v>
      </c>
      <c r="D29" s="15" t="n">
        <f aca="false">B29-C29</f>
        <v>0</v>
      </c>
      <c r="E29" s="6"/>
      <c r="F29" s="6"/>
      <c r="G29" s="6"/>
      <c r="H29" s="6"/>
      <c r="I29" s="6"/>
      <c r="J29" s="6"/>
      <c r="K29" s="6"/>
      <c r="L29" s="7" t="str">
        <f aca="false">IF(ABS(D29)&lt;0.5,"TIES","CHECK")</f>
        <v>TIES</v>
      </c>
    </row>
    <row r="30" customFormat="false" ht="15" hidden="false" customHeight="false" outlineLevel="0" collapsed="false">
      <c r="A30" s="7" t="s">
        <v>877</v>
      </c>
      <c r="B30" s="15" t="n">
        <f aca="false">SUM(D13:D16)</f>
        <v>6702</v>
      </c>
      <c r="C30" s="46" t="n">
        <f aca="false">Annual!D7</f>
        <v>6702</v>
      </c>
      <c r="D30" s="15" t="n">
        <f aca="false">B30-C30</f>
        <v>0</v>
      </c>
      <c r="E30" s="6"/>
      <c r="F30" s="6"/>
      <c r="G30" s="6"/>
      <c r="H30" s="6"/>
      <c r="I30" s="6"/>
      <c r="J30" s="6"/>
      <c r="K30" s="6"/>
      <c r="L30" s="7" t="str">
        <f aca="false">IF(ABS(D30)&lt;0.5,"TIES","CHECK")</f>
        <v>TIES</v>
      </c>
    </row>
    <row r="31" customFormat="false" ht="15" hidden="false" customHeight="false" outlineLevel="0" collapsed="false">
      <c r="A31" s="7" t="s">
        <v>878</v>
      </c>
      <c r="B31" s="15" t="n">
        <f aca="false">SUM(D17:D20)</f>
        <v>7441</v>
      </c>
      <c r="C31" s="46" t="n">
        <f aca="false">Annual!E7</f>
        <v>7441</v>
      </c>
      <c r="D31" s="15" t="n">
        <f aca="false">B31-C31</f>
        <v>0</v>
      </c>
      <c r="E31" s="6"/>
      <c r="F31" s="6"/>
      <c r="G31" s="6"/>
      <c r="H31" s="6"/>
      <c r="I31" s="6"/>
      <c r="J31" s="6"/>
      <c r="K31" s="6"/>
      <c r="L31" s="7" t="str">
        <f aca="false">IF(ABS(D31)&lt;0.5,"TIES","CHECK")</f>
        <v>TIES</v>
      </c>
    </row>
    <row r="32" customFormat="false" ht="15" hidden="false" customHeight="false" outlineLevel="0" collapsed="false">
      <c r="A32" s="7" t="s">
        <v>245</v>
      </c>
      <c r="B32" s="15" t="n">
        <f aca="false">SUM(D21:D24)</f>
        <v>7647</v>
      </c>
      <c r="C32" s="46" t="n">
        <f aca="false">Annual!F7</f>
        <v>7647</v>
      </c>
      <c r="D32" s="15" t="n">
        <f aca="false">B32-C32</f>
        <v>0</v>
      </c>
      <c r="E32" s="6"/>
      <c r="F32" s="6"/>
      <c r="G32" s="6"/>
      <c r="H32" s="6"/>
      <c r="I32" s="6"/>
      <c r="J32" s="6"/>
      <c r="K32" s="6"/>
      <c r="L32" s="7" t="str">
        <f aca="false">IF(ABS(D32)&lt;0.5,"TIES","CHECK")</f>
        <v>TIES</v>
      </c>
    </row>
    <row r="33" customFormat="false" ht="95.5" hidden="false" customHeight="false" outlineLevel="0" collapsed="false">
      <c r="A33" s="4" t="s">
        <v>1095</v>
      </c>
    </row>
    <row r="36" customFormat="false" ht="15" hidden="false" customHeight="false" outlineLevel="0" collapsed="false">
      <c r="A36" s="3" t="s">
        <v>1096</v>
      </c>
    </row>
    <row r="37" customFormat="false" ht="168.65" hidden="false" customHeight="false" outlineLevel="0" collapsed="false">
      <c r="A37" s="4" t="s">
        <v>1097</v>
      </c>
    </row>
    <row r="39" customFormat="false" ht="30" hidden="false" customHeight="true" outlineLevel="0" collapsed="false">
      <c r="A39" s="5" t="s">
        <v>1031</v>
      </c>
      <c r="B39" s="5" t="s">
        <v>879</v>
      </c>
      <c r="C39" s="5" t="s">
        <v>666</v>
      </c>
      <c r="D39" s="5" t="s">
        <v>554</v>
      </c>
      <c r="E39" s="5" t="s">
        <v>557</v>
      </c>
      <c r="F39" s="5" t="s">
        <v>604</v>
      </c>
      <c r="G39" s="5" t="s">
        <v>640</v>
      </c>
      <c r="H39" s="5" t="s">
        <v>563</v>
      </c>
      <c r="I39" s="5" t="s">
        <v>564</v>
      </c>
      <c r="J39" s="5" t="s">
        <v>1032</v>
      </c>
      <c r="K39" s="5" t="s">
        <v>1033</v>
      </c>
      <c r="L39" s="5" t="s">
        <v>164</v>
      </c>
    </row>
    <row r="40" customFormat="false" ht="15" hidden="false" customHeight="false" outlineLevel="0" collapsed="false">
      <c r="A40" s="7" t="s">
        <v>1098</v>
      </c>
      <c r="B40" s="12" t="s">
        <v>1040</v>
      </c>
      <c r="C40" s="12" t="s">
        <v>1040</v>
      </c>
      <c r="D40" s="31" t="n">
        <v>6803</v>
      </c>
      <c r="E40" s="31" t="n">
        <v>2127</v>
      </c>
      <c r="F40" s="26" t="n">
        <f aca="false">IF(D40=0,0,E40/D40)</f>
        <v>0.312656181096575</v>
      </c>
      <c r="G40" s="31" t="n">
        <v>814</v>
      </c>
      <c r="H40" s="31" t="n">
        <v>739</v>
      </c>
      <c r="I40" s="31" t="n">
        <v>560</v>
      </c>
      <c r="J40" s="42" t="n">
        <v>2.51</v>
      </c>
      <c r="K40" s="43"/>
      <c r="L40" s="49" t="s">
        <v>1037</v>
      </c>
    </row>
    <row r="41" customFormat="false" ht="15" hidden="false" customHeight="false" outlineLevel="0" collapsed="false">
      <c r="A41" s="7" t="s">
        <v>1099</v>
      </c>
      <c r="B41" s="12" t="s">
        <v>1100</v>
      </c>
      <c r="C41" s="12" t="s">
        <v>1100</v>
      </c>
      <c r="D41" s="31" t="n">
        <v>6508</v>
      </c>
      <c r="E41" s="31"/>
      <c r="F41" s="26" t="n">
        <f aca="false">IF(D41=0,0,E41/D41)</f>
        <v>0</v>
      </c>
      <c r="G41" s="31" t="n">
        <v>648</v>
      </c>
      <c r="H41" s="31" t="n">
        <v>555</v>
      </c>
      <c r="I41" s="31" t="n">
        <v>436</v>
      </c>
      <c r="J41" s="42" t="n">
        <v>1.93</v>
      </c>
      <c r="K41" s="43"/>
      <c r="L41" s="49" t="s">
        <v>1037</v>
      </c>
    </row>
    <row r="42" customFormat="false" ht="15" hidden="false" customHeight="false" outlineLevel="0" collapsed="false">
      <c r="A42" s="7" t="s">
        <v>1101</v>
      </c>
      <c r="B42" s="12" t="s">
        <v>1045</v>
      </c>
      <c r="C42" s="12" t="s">
        <v>1045</v>
      </c>
      <c r="D42" s="31" t="n">
        <v>7284</v>
      </c>
      <c r="E42" s="31" t="n">
        <v>2205</v>
      </c>
      <c r="F42" s="26" t="n">
        <f aca="false">IF(D42=0,0,E42/D42)</f>
        <v>0.302718286655684</v>
      </c>
      <c r="G42" s="31" t="n">
        <v>795</v>
      </c>
      <c r="H42" s="31" t="n">
        <v>712</v>
      </c>
      <c r="I42" s="31" t="n">
        <v>546</v>
      </c>
      <c r="J42" s="42" t="n">
        <v>2.5</v>
      </c>
      <c r="K42" s="43"/>
      <c r="L42" s="49" t="s">
        <v>1037</v>
      </c>
    </row>
    <row r="43" customFormat="false" ht="15" hidden="false" customHeight="false" outlineLevel="0" collapsed="false">
      <c r="A43" s="7" t="s">
        <v>1102</v>
      </c>
      <c r="B43" s="12" t="s">
        <v>1103</v>
      </c>
      <c r="C43" s="12" t="s">
        <v>1103</v>
      </c>
      <c r="D43" s="31" t="n">
        <v>7971</v>
      </c>
      <c r="E43" s="31" t="n">
        <v>2435</v>
      </c>
      <c r="F43" s="26" t="n">
        <f aca="false">IF(D43=0,0,E43/D43)</f>
        <v>0.305482373604316</v>
      </c>
      <c r="G43" s="31" t="n">
        <v>896</v>
      </c>
      <c r="H43" s="31" t="n">
        <v>814</v>
      </c>
      <c r="I43" s="31" t="n">
        <v>580</v>
      </c>
      <c r="J43" s="42" t="n">
        <v>2.72</v>
      </c>
      <c r="K43" s="43" t="n">
        <f aca="false">SUM(D40:D43)</f>
        <v>28566</v>
      </c>
      <c r="L43" s="49" t="s">
        <v>1037</v>
      </c>
    </row>
    <row r="44" customFormat="false" ht="15" hidden="false" customHeight="false" outlineLevel="0" collapsed="false">
      <c r="A44" s="7" t="s">
        <v>1104</v>
      </c>
      <c r="B44" s="12" t="s">
        <v>1105</v>
      </c>
      <c r="C44" s="12" t="s">
        <v>1105</v>
      </c>
      <c r="D44" s="31" t="n">
        <v>7931</v>
      </c>
      <c r="E44" s="31" t="n">
        <v>2421</v>
      </c>
      <c r="F44" s="26" t="n">
        <f aca="false">IF(D44=0,0,E44/D44)</f>
        <v>0.305257848947169</v>
      </c>
      <c r="G44" s="31" t="n">
        <v>831</v>
      </c>
      <c r="H44" s="31" t="n">
        <v>831</v>
      </c>
      <c r="I44" s="31" t="n">
        <v>595</v>
      </c>
      <c r="J44" s="42" t="n">
        <v>2.84</v>
      </c>
      <c r="K44" s="43" t="n">
        <f aca="false">SUM(D41:D44)</f>
        <v>29694</v>
      </c>
      <c r="L44" s="49" t="s">
        <v>1037</v>
      </c>
    </row>
    <row r="45" customFormat="false" ht="15" hidden="false" customHeight="false" outlineLevel="0" collapsed="false">
      <c r="A45" s="7" t="s">
        <v>1106</v>
      </c>
      <c r="B45" s="12" t="s">
        <v>1107</v>
      </c>
      <c r="C45" s="12" t="s">
        <v>1107</v>
      </c>
      <c r="D45" s="31" t="n">
        <v>6825</v>
      </c>
      <c r="E45" s="31" t="n">
        <v>2062</v>
      </c>
      <c r="F45" s="26" t="n">
        <f aca="false">IF(D45=0,0,E45/D45)</f>
        <v>0.302124542124542</v>
      </c>
      <c r="G45" s="31" t="n">
        <v>711</v>
      </c>
      <c r="H45" s="31" t="n">
        <v>549</v>
      </c>
      <c r="I45" s="31" t="n">
        <v>374</v>
      </c>
      <c r="J45" s="42" t="n">
        <v>1.8</v>
      </c>
      <c r="K45" s="43" t="n">
        <f aca="false">SUM(D42:D45)</f>
        <v>30011</v>
      </c>
      <c r="L45" s="49" t="s">
        <v>1037</v>
      </c>
    </row>
    <row r="46" customFormat="false" ht="15" hidden="false" customHeight="false" outlineLevel="0" collapsed="false">
      <c r="A46" s="7" t="s">
        <v>1108</v>
      </c>
      <c r="B46" s="12" t="s">
        <v>1055</v>
      </c>
      <c r="C46" s="12" t="s">
        <v>1055</v>
      </c>
      <c r="D46" s="31" t="n">
        <v>7140</v>
      </c>
      <c r="E46" s="31" t="n">
        <v>2140</v>
      </c>
      <c r="F46" s="26" t="n">
        <f aca="false">IF(D46=0,0,E46/D46)</f>
        <v>0.299719887955182</v>
      </c>
      <c r="G46" s="31" t="n">
        <v>740</v>
      </c>
      <c r="H46" s="31" t="n">
        <v>497</v>
      </c>
      <c r="I46" s="31" t="n">
        <v>336</v>
      </c>
      <c r="J46" s="42" t="n">
        <v>1.63</v>
      </c>
      <c r="K46" s="43" t="n">
        <f aca="false">SUM(D43:D46)</f>
        <v>29867</v>
      </c>
      <c r="L46" s="49" t="s">
        <v>1037</v>
      </c>
    </row>
    <row r="47" customFormat="false" ht="15" hidden="false" customHeight="false" outlineLevel="0" collapsed="false">
      <c r="A47" s="7" t="s">
        <v>1109</v>
      </c>
      <c r="B47" s="12" t="s">
        <v>1110</v>
      </c>
      <c r="C47" s="12" t="s">
        <v>1110</v>
      </c>
      <c r="D47" s="31" t="n">
        <v>7838</v>
      </c>
      <c r="E47" s="31" t="n">
        <v>2402</v>
      </c>
      <c r="F47" s="26" t="n">
        <f aca="false">IF(D47=0,0,E47/D47)</f>
        <v>0.306455728502169</v>
      </c>
      <c r="G47" s="31" t="n">
        <v>858</v>
      </c>
      <c r="H47" s="31" t="n">
        <v>782</v>
      </c>
      <c r="I47" s="31" t="n">
        <v>584</v>
      </c>
      <c r="J47" s="42" t="n">
        <v>2.85</v>
      </c>
      <c r="K47" s="43" t="n">
        <f aca="false">SUM(D44:D47)</f>
        <v>29734</v>
      </c>
      <c r="L47" s="49" t="s">
        <v>1037</v>
      </c>
    </row>
    <row r="48" customFormat="false" ht="15" hidden="false" customHeight="false" outlineLevel="0" collapsed="false">
      <c r="A48" s="7" t="s">
        <v>1111</v>
      </c>
      <c r="B48" s="12" t="s">
        <v>1061</v>
      </c>
      <c r="C48" s="12" t="s">
        <v>1061</v>
      </c>
      <c r="D48" s="31" t="n">
        <v>7708</v>
      </c>
      <c r="E48" s="31" t="n">
        <v>2331</v>
      </c>
      <c r="F48" s="26" t="n">
        <f aca="false">IF(D48=0,0,E48/D48)</f>
        <v>0.302413077322263</v>
      </c>
      <c r="G48" s="31" t="n">
        <v>739</v>
      </c>
      <c r="H48" s="31" t="n">
        <v>739</v>
      </c>
      <c r="I48" s="31" t="n">
        <v>519</v>
      </c>
      <c r="J48" s="42" t="n">
        <v>2.54</v>
      </c>
      <c r="K48" s="43" t="n">
        <f aca="false">SUM(D45:D48)</f>
        <v>29511</v>
      </c>
      <c r="L48" s="49" t="s">
        <v>1037</v>
      </c>
    </row>
    <row r="49" customFormat="false" ht="15" hidden="false" customHeight="false" outlineLevel="0" collapsed="false">
      <c r="A49" s="7" t="s">
        <v>1112</v>
      </c>
      <c r="B49" s="12" t="s">
        <v>1113</v>
      </c>
      <c r="C49" s="12" t="s">
        <v>1113</v>
      </c>
      <c r="D49" s="31" t="n">
        <v>6673</v>
      </c>
      <c r="E49" s="31" t="n">
        <v>2029</v>
      </c>
      <c r="F49" s="26" t="n">
        <f aca="false">IF(D49=0,0,E49/D49)</f>
        <v>0.304061141915181</v>
      </c>
      <c r="G49" s="31" t="n">
        <v>640</v>
      </c>
      <c r="H49" s="31" t="n">
        <v>477</v>
      </c>
      <c r="I49" s="31" t="n">
        <v>322</v>
      </c>
      <c r="J49" s="42" t="n">
        <v>1.58</v>
      </c>
      <c r="K49" s="43" t="n">
        <f aca="false">SUM(D46:D49)</f>
        <v>29359</v>
      </c>
      <c r="L49" s="49" t="s">
        <v>1037</v>
      </c>
    </row>
    <row r="50" customFormat="false" ht="15" hidden="false" customHeight="false" outlineLevel="0" collapsed="false">
      <c r="A50" s="7" t="s">
        <v>1114</v>
      </c>
      <c r="B50" s="12" t="s">
        <v>1066</v>
      </c>
      <c r="C50" s="12" t="s">
        <v>1066</v>
      </c>
      <c r="D50" s="31" t="n">
        <v>7308</v>
      </c>
      <c r="E50" s="31" t="n">
        <v>2232</v>
      </c>
      <c r="F50" s="26" t="n">
        <f aca="false">IF(D50=0,0,E50/D50)</f>
        <v>0.305418719211823</v>
      </c>
      <c r="G50" s="31" t="n">
        <v>625</v>
      </c>
      <c r="H50" s="31" t="n">
        <v>625</v>
      </c>
      <c r="I50" s="31" t="n">
        <v>443</v>
      </c>
      <c r="J50" s="42" t="n">
        <v>2.18</v>
      </c>
      <c r="K50" s="43" t="n">
        <f aca="false">SUM(D47:D50)</f>
        <v>29527</v>
      </c>
      <c r="L50" s="49" t="s">
        <v>1037</v>
      </c>
    </row>
    <row r="51" customFormat="false" ht="15" hidden="false" customHeight="false" outlineLevel="0" collapsed="false">
      <c r="A51" s="7" t="s">
        <v>1115</v>
      </c>
      <c r="B51" s="12" t="s">
        <v>1116</v>
      </c>
      <c r="C51" s="12" t="s">
        <v>1116</v>
      </c>
      <c r="D51" s="31" t="n">
        <v>7946</v>
      </c>
      <c r="E51" s="31" t="n">
        <v>2461</v>
      </c>
      <c r="F51" s="26" t="n">
        <f aca="false">IF(D51=0,0,E51/D51)</f>
        <v>0.309715580166121</v>
      </c>
      <c r="G51" s="31" t="n">
        <v>906</v>
      </c>
      <c r="H51" s="31" t="n">
        <v>811</v>
      </c>
      <c r="I51" s="31" t="n">
        <v>451</v>
      </c>
      <c r="J51" s="42" t="n">
        <v>2.23</v>
      </c>
      <c r="K51" s="43" t="n">
        <f aca="false">SUM(D48:D51)</f>
        <v>29635</v>
      </c>
      <c r="L51" s="49" t="s">
        <v>1037</v>
      </c>
    </row>
    <row r="52" customFormat="false" ht="15" hidden="false" customHeight="false" outlineLevel="0" collapsed="false">
      <c r="A52" s="7" t="s">
        <v>1117</v>
      </c>
      <c r="B52" s="12" t="s">
        <v>1118</v>
      </c>
      <c r="C52" s="12" t="s">
        <v>1118</v>
      </c>
      <c r="D52" s="31" t="n">
        <v>7772</v>
      </c>
      <c r="E52" s="31" t="n">
        <v>2340</v>
      </c>
      <c r="F52" s="26" t="n">
        <f aca="false">IF(D52=0,0,E52/D52)</f>
        <v>0.301080802882141</v>
      </c>
      <c r="G52" s="31" t="n">
        <v>755</v>
      </c>
      <c r="H52" s="31" t="n">
        <v>665</v>
      </c>
      <c r="I52" s="31" t="n">
        <v>470</v>
      </c>
      <c r="J52" s="42" t="n">
        <v>2.34</v>
      </c>
      <c r="K52" s="43" t="n">
        <f aca="false">SUM(D49:D52)</f>
        <v>29699</v>
      </c>
      <c r="L52" s="49" t="s">
        <v>1037</v>
      </c>
    </row>
    <row r="53" customFormat="false" ht="15" hidden="false" customHeight="false" outlineLevel="0" collapsed="false">
      <c r="A53" s="7" t="s">
        <v>1119</v>
      </c>
      <c r="B53" s="12" t="s">
        <v>1120</v>
      </c>
      <c r="C53" s="12" t="s">
        <v>1120</v>
      </c>
      <c r="D53" s="31" t="n">
        <v>6872</v>
      </c>
      <c r="E53" s="31" t="n">
        <v>2042</v>
      </c>
      <c r="F53" s="26" t="n">
        <f aca="false">IF(D53=0,0,E53/D53)</f>
        <v>0.297147846332945</v>
      </c>
      <c r="G53" s="31" t="n">
        <v>592</v>
      </c>
      <c r="H53" s="31" t="n">
        <v>410</v>
      </c>
      <c r="I53" s="31" t="n">
        <v>276</v>
      </c>
      <c r="J53" s="42" t="n">
        <v>1.38</v>
      </c>
      <c r="K53" s="43" t="n">
        <f aca="false">SUM(D50:D53)</f>
        <v>29898</v>
      </c>
      <c r="L53" s="49" t="s">
        <v>1037</v>
      </c>
    </row>
    <row r="54" customFormat="false" ht="15" hidden="false" customHeight="false" outlineLevel="0" collapsed="false">
      <c r="A54" s="7" t="s">
        <v>1121</v>
      </c>
      <c r="B54" s="12" t="s">
        <v>1122</v>
      </c>
      <c r="C54" s="12" t="s">
        <v>1122</v>
      </c>
      <c r="D54" s="31" t="n">
        <v>7621</v>
      </c>
      <c r="E54" s="31" t="n">
        <v>2359</v>
      </c>
      <c r="F54" s="26" t="n">
        <f aca="false">IF(D54=0,0,E54/D54)</f>
        <v>0.309539430520929</v>
      </c>
      <c r="G54" s="31" t="n">
        <v>882</v>
      </c>
      <c r="H54" s="31" t="n">
        <v>606</v>
      </c>
      <c r="I54" s="31" t="n">
        <v>410</v>
      </c>
      <c r="J54" s="42" t="n">
        <v>2.07</v>
      </c>
      <c r="K54" s="43" t="n">
        <f aca="false">SUM(D51:D54)</f>
        <v>30211</v>
      </c>
      <c r="L54" s="49" t="s">
        <v>1037</v>
      </c>
    </row>
    <row r="55" customFormat="false" ht="15" hidden="false" customHeight="false" outlineLevel="0" collapsed="false">
      <c r="A55" s="7" t="s">
        <v>1123</v>
      </c>
      <c r="B55" s="12" t="s">
        <v>1124</v>
      </c>
      <c r="C55" s="12" t="s">
        <v>1124</v>
      </c>
      <c r="D55" s="31" t="n">
        <v>8497</v>
      </c>
      <c r="E55" s="31" t="n">
        <v>2694</v>
      </c>
      <c r="F55" s="26" t="n">
        <f aca="false">IF(D55=0,0,E55/D55)</f>
        <v>0.317053077556785</v>
      </c>
      <c r="G55" s="31" t="n">
        <v>1029</v>
      </c>
      <c r="H55" s="31" t="n">
        <v>925</v>
      </c>
      <c r="I55" s="31" t="n">
        <v>700</v>
      </c>
      <c r="J55" s="42" t="n">
        <v>3.55</v>
      </c>
      <c r="K55" s="43" t="n">
        <f aca="false">SUM(D52:D55)</f>
        <v>30762</v>
      </c>
      <c r="L55" s="49" t="s">
        <v>1037</v>
      </c>
    </row>
    <row r="56" customFormat="false" ht="15" hidden="false" customHeight="false" outlineLevel="0" collapsed="false">
      <c r="A56" s="7" t="s">
        <v>1125</v>
      </c>
      <c r="B56" s="12" t="s">
        <v>1083</v>
      </c>
      <c r="C56" s="12" t="s">
        <v>1083</v>
      </c>
      <c r="D56" s="31" t="n">
        <v>8169</v>
      </c>
      <c r="E56" s="31" t="n">
        <v>2506</v>
      </c>
      <c r="F56" s="26" t="n">
        <f aca="false">IF(D56=0,0,E56/D56)</f>
        <v>0.306769494430163</v>
      </c>
      <c r="G56" s="31" t="n">
        <v>867</v>
      </c>
      <c r="H56" s="31" t="n">
        <v>771</v>
      </c>
      <c r="I56" s="31" t="n">
        <v>570</v>
      </c>
      <c r="J56" s="42" t="n">
        <v>2.9</v>
      </c>
      <c r="K56" s="43" t="n">
        <f aca="false">SUM(D53:D56)</f>
        <v>31159</v>
      </c>
      <c r="L56" s="49" t="s">
        <v>1037</v>
      </c>
    </row>
    <row r="57" customFormat="false" ht="15" hidden="false" customHeight="false" outlineLevel="0" collapsed="false">
      <c r="A57" s="7" t="s">
        <v>1125</v>
      </c>
      <c r="B57" s="12" t="s">
        <v>1126</v>
      </c>
      <c r="C57" s="12" t="s">
        <v>1126</v>
      </c>
      <c r="D57" s="31" t="n">
        <v>0</v>
      </c>
      <c r="E57" s="31" t="n">
        <v>0</v>
      </c>
      <c r="F57" s="26" t="n">
        <f aca="false">IF(D57=0,0,E57/D57)</f>
        <v>0</v>
      </c>
      <c r="G57" s="31" t="n">
        <v>0</v>
      </c>
      <c r="H57" s="31" t="n">
        <v>0</v>
      </c>
      <c r="I57" s="31" t="n">
        <v>389</v>
      </c>
      <c r="J57" s="42" t="n">
        <v>1.99</v>
      </c>
      <c r="K57" s="43" t="n">
        <f aca="false">SUM(D54:D57)</f>
        <v>24287</v>
      </c>
      <c r="L57" s="49" t="s">
        <v>1037</v>
      </c>
    </row>
    <row r="58" customFormat="false" ht="15" hidden="false" customHeight="false" outlineLevel="0" collapsed="false">
      <c r="A58" s="7" t="s">
        <v>1127</v>
      </c>
      <c r="B58" s="12" t="s">
        <v>1128</v>
      </c>
      <c r="C58" s="12" t="s">
        <v>1128</v>
      </c>
      <c r="D58" s="31" t="n">
        <v>7472</v>
      </c>
      <c r="E58" s="31" t="n">
        <v>2318</v>
      </c>
      <c r="F58" s="26" t="n">
        <f aca="false">IF(D58=0,0,E58/D58)</f>
        <v>0.310224839400428</v>
      </c>
      <c r="G58" s="31" t="n">
        <v>709</v>
      </c>
      <c r="H58" s="31" t="n">
        <v>612</v>
      </c>
      <c r="I58" s="31" t="n">
        <v>414</v>
      </c>
      <c r="J58" s="42" t="n">
        <v>2.13</v>
      </c>
      <c r="K58" s="43" t="n">
        <f aca="false">SUM(D55:D58)</f>
        <v>24138</v>
      </c>
      <c r="L58" s="49" t="s">
        <v>1037</v>
      </c>
    </row>
    <row r="59" customFormat="false" ht="15" hidden="false" customHeight="false" outlineLevel="0" collapsed="false">
      <c r="A59" s="7" t="s">
        <v>1129</v>
      </c>
      <c r="B59" s="12" t="s">
        <v>1130</v>
      </c>
      <c r="C59" s="12" t="s">
        <v>1130</v>
      </c>
      <c r="D59" s="31" t="n">
        <v>8751</v>
      </c>
      <c r="E59" s="31" t="n">
        <v>2712</v>
      </c>
      <c r="F59" s="26" t="n">
        <f aca="false">IF(D59=0,0,E59/D59)</f>
        <v>0.309907439149811</v>
      </c>
      <c r="G59" s="31" t="n">
        <v>992</v>
      </c>
      <c r="H59" s="31" t="n">
        <v>893</v>
      </c>
      <c r="I59" s="31" t="n">
        <v>666</v>
      </c>
      <c r="J59" s="42" t="n">
        <v>3.43</v>
      </c>
      <c r="K59" s="43" t="n">
        <f aca="false">SUM(D56:D59)</f>
        <v>24392</v>
      </c>
      <c r="L59" s="49" t="s">
        <v>1037</v>
      </c>
    </row>
    <row r="61" customFormat="false" ht="15" hidden="false" customHeight="false" outlineLevel="0" collapsed="false">
      <c r="A61" s="3" t="s">
        <v>1089</v>
      </c>
    </row>
    <row r="62" customFormat="false" ht="30" hidden="false" customHeight="true" outlineLevel="0" collapsed="false">
      <c r="A62" s="5" t="s">
        <v>1090</v>
      </c>
      <c r="B62" s="5" t="s">
        <v>1091</v>
      </c>
      <c r="C62" s="5" t="s">
        <v>1092</v>
      </c>
      <c r="D62" s="5" t="s">
        <v>1093</v>
      </c>
      <c r="E62" s="5"/>
      <c r="F62" s="5"/>
      <c r="G62" s="5"/>
      <c r="H62" s="5"/>
      <c r="I62" s="5"/>
      <c r="J62" s="5"/>
      <c r="K62" s="5"/>
      <c r="L62" s="5" t="s">
        <v>1094</v>
      </c>
    </row>
    <row r="63" customFormat="false" ht="15" hidden="false" customHeight="false" outlineLevel="0" collapsed="false">
      <c r="A63" s="7" t="s">
        <v>876</v>
      </c>
      <c r="B63" s="27" t="n">
        <f aca="false">SUM(D40:D43)</f>
        <v>28566</v>
      </c>
      <c r="C63" s="46" t="n">
        <f aca="false">Annual!F27</f>
        <v>28566</v>
      </c>
      <c r="D63" s="27" t="n">
        <f aca="false">B63-C63</f>
        <v>0</v>
      </c>
      <c r="E63" s="6"/>
      <c r="F63" s="6"/>
      <c r="G63" s="6"/>
      <c r="H63" s="6"/>
      <c r="I63" s="6"/>
      <c r="J63" s="6"/>
      <c r="K63" s="6"/>
      <c r="L63" s="7" t="str">
        <f aca="false">IF(ABS(D63)&lt;1,"TIES","CHECK")</f>
        <v>TIES</v>
      </c>
    </row>
    <row r="64" customFormat="false" ht="15" hidden="false" customHeight="false" outlineLevel="0" collapsed="false">
      <c r="A64" s="7" t="s">
        <v>877</v>
      </c>
      <c r="B64" s="27" t="n">
        <f aca="false">SUM(D44:D47)</f>
        <v>29734</v>
      </c>
      <c r="C64" s="46" t="n">
        <f aca="false">Annual!G27</f>
        <v>29734</v>
      </c>
      <c r="D64" s="27" t="n">
        <f aca="false">B64-C64</f>
        <v>0</v>
      </c>
      <c r="E64" s="6"/>
      <c r="F64" s="6"/>
      <c r="G64" s="6"/>
      <c r="H64" s="6"/>
      <c r="I64" s="6"/>
      <c r="J64" s="6"/>
      <c r="K64" s="6"/>
      <c r="L64" s="7" t="str">
        <f aca="false">IF(ABS(D64)&lt;1,"TIES","CHECK")</f>
        <v>TIES</v>
      </c>
    </row>
    <row r="65" customFormat="false" ht="15" hidden="false" customHeight="false" outlineLevel="0" collapsed="false">
      <c r="A65" s="7" t="s">
        <v>878</v>
      </c>
      <c r="B65" s="27" t="n">
        <f aca="false">SUM(D48:D51)</f>
        <v>29635</v>
      </c>
      <c r="C65" s="46" t="n">
        <f aca="false">Annual!H27</f>
        <v>29635</v>
      </c>
      <c r="D65" s="27" t="n">
        <f aca="false">B65-C65</f>
        <v>0</v>
      </c>
      <c r="E65" s="6"/>
      <c r="F65" s="6"/>
      <c r="G65" s="6"/>
      <c r="H65" s="6"/>
      <c r="I65" s="6"/>
      <c r="J65" s="6"/>
      <c r="K65" s="6"/>
      <c r="L65" s="7" t="str">
        <f aca="false">IF(ABS(D65)&lt;1,"TIES","CHECK")</f>
        <v>TIES</v>
      </c>
    </row>
    <row r="66" customFormat="false" ht="15" hidden="false" customHeight="false" outlineLevel="0" collapsed="false">
      <c r="A66" s="7" t="s">
        <v>245</v>
      </c>
      <c r="B66" s="27" t="n">
        <f aca="false">SUM(D52:D55)</f>
        <v>30762</v>
      </c>
      <c r="C66" s="46" t="n">
        <f aca="false">Annual!I27</f>
        <v>30762</v>
      </c>
      <c r="D66" s="27" t="n">
        <f aca="false">B66-C66</f>
        <v>0</v>
      </c>
      <c r="E66" s="6"/>
      <c r="F66" s="6"/>
      <c r="G66" s="6"/>
      <c r="H66" s="6"/>
      <c r="I66" s="6"/>
      <c r="J66" s="6"/>
      <c r="K66" s="6"/>
      <c r="L66" s="7" t="str">
        <f aca="false">IF(ABS(D66)&lt;1,"TIES","CHECK")</f>
        <v>TIES</v>
      </c>
    </row>
    <row r="67" customFormat="false" ht="116.4" hidden="false" customHeight="false" outlineLevel="0" collapsed="false">
      <c r="A67" s="4" t="s">
        <v>1131</v>
      </c>
    </row>
    <row r="70" customFormat="false" ht="15" hidden="false" customHeight="false" outlineLevel="0" collapsed="false">
      <c r="A70" s="3" t="s">
        <v>1132</v>
      </c>
    </row>
    <row r="71" customFormat="false" ht="116.4" hidden="false" customHeight="false" outlineLevel="0" collapsed="false">
      <c r="A71" s="4" t="s">
        <v>1133</v>
      </c>
    </row>
  </sheetData>
  <autoFilter ref="A5:L25"/>
  <hyperlinks>
    <hyperlink ref="L6" r:id="rId1" display="report"/>
    <hyperlink ref="L7" r:id="rId2" display="report"/>
    <hyperlink ref="L8" r:id="rId3" display="report"/>
    <hyperlink ref="L9" r:id="rId4" display="report"/>
    <hyperlink ref="L10" r:id="rId5" display="report"/>
    <hyperlink ref="L11" r:id="rId6" display="report"/>
    <hyperlink ref="L12" r:id="rId7" display="report"/>
    <hyperlink ref="L13" r:id="rId8" display="report"/>
    <hyperlink ref="L14" r:id="rId9" display="report"/>
    <hyperlink ref="L15" r:id="rId10" display="report"/>
    <hyperlink ref="L16" r:id="rId11" display="report"/>
    <hyperlink ref="L17" r:id="rId12" display="report"/>
    <hyperlink ref="L18" r:id="rId13" display="report"/>
    <hyperlink ref="L19" r:id="rId14" display="report"/>
    <hyperlink ref="L20" r:id="rId15" display="report"/>
    <hyperlink ref="L21" r:id="rId16" display="report"/>
    <hyperlink ref="L22" r:id="rId17" display="report"/>
    <hyperlink ref="L23" r:id="rId18" display="report"/>
    <hyperlink ref="L24" r:id="rId19" display="report"/>
    <hyperlink ref="L25" r:id="rId20" display="report"/>
    <hyperlink ref="L40" r:id="rId21" display="report"/>
    <hyperlink ref="L41" r:id="rId22" display="report"/>
    <hyperlink ref="L42" r:id="rId23" display="report"/>
    <hyperlink ref="L43" r:id="rId24" display="report"/>
    <hyperlink ref="L44" r:id="rId25" display="report"/>
    <hyperlink ref="L45" r:id="rId26" display="report"/>
    <hyperlink ref="L46" r:id="rId27" display="report"/>
    <hyperlink ref="L47" r:id="rId28" display="report"/>
    <hyperlink ref="L48" r:id="rId29" display="report"/>
    <hyperlink ref="L49" r:id="rId30" display="report"/>
    <hyperlink ref="L50" r:id="rId31" display="report"/>
    <hyperlink ref="L51" r:id="rId32" display="report"/>
    <hyperlink ref="L52" r:id="rId33" display="report"/>
    <hyperlink ref="L53" r:id="rId34" display="report"/>
    <hyperlink ref="L54" r:id="rId35" display="report"/>
    <hyperlink ref="L55" r:id="rId36" display="report"/>
    <hyperlink ref="L56" r:id="rId37" display="report"/>
    <hyperlink ref="L57" r:id="rId38" display="report"/>
    <hyperlink ref="L58" r:id="rId39" display="report"/>
    <hyperlink ref="L59" r:id="rId40" display="repor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FA5"/>
    <pageSetUpPr fitToPage="false"/>
  </sheetPr>
  <dimension ref="A1:H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52"/>
    <col collapsed="false" customWidth="true" hidden="false" outlineLevel="0" max="3" min="3" style="0" width="11"/>
    <col collapsed="false" customWidth="true" hidden="false" outlineLevel="0" max="4" min="4" style="0" width="13"/>
    <col collapsed="false" customWidth="true" hidden="false" outlineLevel="0" max="5" min="5" style="0" width="9"/>
    <col collapsed="false" customWidth="true" hidden="false" outlineLevel="0" max="7" min="6" style="0" width="11"/>
    <col collapsed="false" customWidth="true" hidden="false" outlineLevel="0" max="8" min="8" style="0" width="62"/>
  </cols>
  <sheetData>
    <row r="1" customFormat="false" ht="21.75" hidden="false" customHeight="true" outlineLevel="0" collapsed="false">
      <c r="A1" s="1" t="s">
        <v>1134</v>
      </c>
    </row>
    <row r="2" customFormat="false" ht="15" hidden="false" customHeight="false" outlineLevel="0" collapsed="false">
      <c r="A2" s="2" t="s">
        <v>1135</v>
      </c>
    </row>
    <row r="4" customFormat="false" ht="95.5" hidden="false" customHeight="false" outlineLevel="0" collapsed="false">
      <c r="A4" s="4" t="s">
        <v>1136</v>
      </c>
    </row>
    <row r="6" customFormat="false" ht="15" hidden="false" customHeight="false" outlineLevel="0" collapsed="false">
      <c r="A6" s="3" t="s">
        <v>1137</v>
      </c>
    </row>
    <row r="7" customFormat="false" ht="30" hidden="false" customHeight="true" outlineLevel="0" collapsed="false">
      <c r="A7" s="5" t="s">
        <v>1138</v>
      </c>
      <c r="B7" s="5" t="s">
        <v>1139</v>
      </c>
      <c r="C7" s="5" t="s">
        <v>1140</v>
      </c>
      <c r="D7" s="5" t="s">
        <v>1141</v>
      </c>
      <c r="E7" s="5" t="s">
        <v>1142</v>
      </c>
      <c r="F7" s="5" t="s">
        <v>1143</v>
      </c>
      <c r="G7" s="5" t="s">
        <v>1144</v>
      </c>
      <c r="H7" s="5" t="s">
        <v>1145</v>
      </c>
    </row>
    <row r="8" customFormat="false" ht="15" hidden="false" customHeight="false" outlineLevel="0" collapsed="false">
      <c r="A8" s="12" t="s">
        <v>1146</v>
      </c>
      <c r="B8" s="6" t="s">
        <v>1147</v>
      </c>
      <c r="C8" s="7" t="s">
        <v>1148</v>
      </c>
      <c r="D8" s="12" t="s">
        <v>1149</v>
      </c>
      <c r="E8" s="12" t="s">
        <v>1150</v>
      </c>
      <c r="F8" s="12" t="s">
        <v>1151</v>
      </c>
      <c r="G8" s="50" t="s">
        <v>1152</v>
      </c>
      <c r="H8" s="12" t="s">
        <v>1153</v>
      </c>
    </row>
    <row r="9" customFormat="false" ht="15" hidden="false" customHeight="false" outlineLevel="0" collapsed="false">
      <c r="A9" s="12" t="s">
        <v>1146</v>
      </c>
      <c r="B9" s="6" t="s">
        <v>1147</v>
      </c>
      <c r="C9" s="7" t="s">
        <v>1154</v>
      </c>
      <c r="D9" s="12" t="s">
        <v>1149</v>
      </c>
      <c r="E9" s="12" t="s">
        <v>1155</v>
      </c>
      <c r="F9" s="12" t="s">
        <v>1151</v>
      </c>
      <c r="G9" s="50" t="s">
        <v>1152</v>
      </c>
      <c r="H9" s="12" t="s">
        <v>1156</v>
      </c>
    </row>
    <row r="10" customFormat="false" ht="15" hidden="false" customHeight="false" outlineLevel="0" collapsed="false">
      <c r="A10" s="12" t="s">
        <v>1146</v>
      </c>
      <c r="B10" s="6" t="s">
        <v>1157</v>
      </c>
      <c r="C10" s="7" t="s">
        <v>1158</v>
      </c>
      <c r="D10" s="12" t="s">
        <v>1149</v>
      </c>
      <c r="E10" s="12" t="s">
        <v>1150</v>
      </c>
      <c r="F10" s="12" t="s">
        <v>1151</v>
      </c>
      <c r="G10" s="50" t="s">
        <v>1152</v>
      </c>
      <c r="H10" s="12" t="s">
        <v>1159</v>
      </c>
    </row>
    <row r="11" customFormat="false" ht="15" hidden="false" customHeight="false" outlineLevel="0" collapsed="false">
      <c r="A11" s="12" t="s">
        <v>1146</v>
      </c>
      <c r="B11" s="6" t="s">
        <v>1157</v>
      </c>
      <c r="C11" s="7" t="s">
        <v>1160</v>
      </c>
      <c r="D11" s="12" t="s">
        <v>1149</v>
      </c>
      <c r="E11" s="12" t="s">
        <v>1155</v>
      </c>
      <c r="F11" s="12" t="s">
        <v>1151</v>
      </c>
      <c r="G11" s="50" t="s">
        <v>1152</v>
      </c>
      <c r="H11" s="12" t="s">
        <v>1161</v>
      </c>
    </row>
    <row r="12" customFormat="false" ht="15" hidden="false" customHeight="false" outlineLevel="0" collapsed="false">
      <c r="A12" s="12" t="s">
        <v>1146</v>
      </c>
      <c r="B12" s="6" t="s">
        <v>1162</v>
      </c>
      <c r="C12" s="7" t="s">
        <v>1163</v>
      </c>
      <c r="D12" s="12" t="s">
        <v>1149</v>
      </c>
      <c r="E12" s="12" t="s">
        <v>1150</v>
      </c>
      <c r="F12" s="12" t="s">
        <v>1151</v>
      </c>
      <c r="G12" s="50" t="s">
        <v>1152</v>
      </c>
      <c r="H12" s="12" t="s">
        <v>1164</v>
      </c>
    </row>
    <row r="13" customFormat="false" ht="15" hidden="false" customHeight="false" outlineLevel="0" collapsed="false">
      <c r="A13" s="12" t="s">
        <v>1146</v>
      </c>
      <c r="B13" s="6" t="s">
        <v>1162</v>
      </c>
      <c r="C13" s="7" t="s">
        <v>1165</v>
      </c>
      <c r="D13" s="12" t="s">
        <v>1149</v>
      </c>
      <c r="E13" s="12" t="s">
        <v>1155</v>
      </c>
      <c r="F13" s="12" t="s">
        <v>1151</v>
      </c>
      <c r="G13" s="50" t="s">
        <v>1152</v>
      </c>
      <c r="H13" s="12" t="s">
        <v>1166</v>
      </c>
    </row>
    <row r="14" customFormat="false" ht="15" hidden="false" customHeight="false" outlineLevel="0" collapsed="false">
      <c r="A14" s="12" t="s">
        <v>1146</v>
      </c>
      <c r="B14" s="6" t="s">
        <v>1167</v>
      </c>
      <c r="C14" s="7" t="s">
        <v>1168</v>
      </c>
      <c r="D14" s="12" t="s">
        <v>1149</v>
      </c>
      <c r="E14" s="12" t="s">
        <v>1150</v>
      </c>
      <c r="F14" s="12" t="s">
        <v>1151</v>
      </c>
      <c r="G14" s="50" t="s">
        <v>1152</v>
      </c>
      <c r="H14" s="12" t="s">
        <v>1169</v>
      </c>
    </row>
    <row r="15" customFormat="false" ht="15" hidden="false" customHeight="false" outlineLevel="0" collapsed="false">
      <c r="A15" s="12" t="s">
        <v>1146</v>
      </c>
      <c r="B15" s="6" t="s">
        <v>1167</v>
      </c>
      <c r="C15" s="7" t="s">
        <v>1170</v>
      </c>
      <c r="D15" s="12" t="s">
        <v>1149</v>
      </c>
      <c r="E15" s="12" t="s">
        <v>1155</v>
      </c>
      <c r="F15" s="12" t="s">
        <v>1151</v>
      </c>
      <c r="G15" s="50" t="s">
        <v>1152</v>
      </c>
      <c r="H15" s="12" t="s">
        <v>1161</v>
      </c>
    </row>
    <row r="16" customFormat="false" ht="15" hidden="false" customHeight="false" outlineLevel="0" collapsed="false">
      <c r="A16" s="12" t="s">
        <v>1146</v>
      </c>
      <c r="B16" s="6" t="s">
        <v>1157</v>
      </c>
      <c r="C16" s="7" t="s">
        <v>1171</v>
      </c>
      <c r="D16" s="12" t="s">
        <v>1149</v>
      </c>
      <c r="E16" s="12" t="s">
        <v>1155</v>
      </c>
      <c r="F16" s="12" t="s">
        <v>1151</v>
      </c>
      <c r="G16" s="50" t="s">
        <v>1152</v>
      </c>
      <c r="H16" s="12" t="s">
        <v>1172</v>
      </c>
    </row>
    <row r="17" customFormat="false" ht="15" hidden="false" customHeight="false" outlineLevel="0" collapsed="false">
      <c r="A17" s="12" t="s">
        <v>1146</v>
      </c>
      <c r="B17" s="6" t="s">
        <v>1167</v>
      </c>
      <c r="C17" s="7" t="s">
        <v>1173</v>
      </c>
      <c r="D17" s="12" t="s">
        <v>1149</v>
      </c>
      <c r="E17" s="12" t="s">
        <v>1155</v>
      </c>
      <c r="F17" s="12" t="s">
        <v>1151</v>
      </c>
      <c r="G17" s="50" t="s">
        <v>1152</v>
      </c>
      <c r="H17" s="12" t="s">
        <v>1174</v>
      </c>
    </row>
    <row r="18" customFormat="false" ht="23.85" hidden="false" customHeight="false" outlineLevel="0" collapsed="false">
      <c r="A18" s="12" t="s">
        <v>1175</v>
      </c>
      <c r="B18" s="6" t="s">
        <v>1176</v>
      </c>
      <c r="C18" s="7" t="s">
        <v>1177</v>
      </c>
      <c r="D18" s="12" t="s">
        <v>1149</v>
      </c>
      <c r="E18" s="12" t="s">
        <v>1178</v>
      </c>
      <c r="F18" s="12" t="s">
        <v>1179</v>
      </c>
      <c r="G18" s="50" t="s">
        <v>1152</v>
      </c>
      <c r="H18" s="12" t="s">
        <v>1180</v>
      </c>
    </row>
    <row r="19" customFormat="false" ht="23.85" hidden="false" customHeight="false" outlineLevel="0" collapsed="false">
      <c r="A19" s="12" t="s">
        <v>1175</v>
      </c>
      <c r="B19" s="6" t="s">
        <v>1176</v>
      </c>
      <c r="C19" s="7" t="s">
        <v>1181</v>
      </c>
      <c r="D19" s="12" t="s">
        <v>1149</v>
      </c>
      <c r="E19" s="12" t="s">
        <v>1182</v>
      </c>
      <c r="F19" s="12" t="s">
        <v>1179</v>
      </c>
      <c r="G19" s="50" t="s">
        <v>1152</v>
      </c>
      <c r="H19" s="12" t="s">
        <v>1183</v>
      </c>
    </row>
    <row r="20" customFormat="false" ht="23.85" hidden="false" customHeight="false" outlineLevel="0" collapsed="false">
      <c r="A20" s="12" t="s">
        <v>1175</v>
      </c>
      <c r="B20" s="6" t="s">
        <v>1184</v>
      </c>
      <c r="C20" s="7" t="s">
        <v>1185</v>
      </c>
      <c r="D20" s="12" t="s">
        <v>1149</v>
      </c>
      <c r="E20" s="12" t="s">
        <v>1178</v>
      </c>
      <c r="F20" s="12" t="s">
        <v>1179</v>
      </c>
      <c r="G20" s="50" t="s">
        <v>1152</v>
      </c>
      <c r="H20" s="12" t="s">
        <v>1186</v>
      </c>
    </row>
    <row r="21" customFormat="false" ht="23.85" hidden="false" customHeight="false" outlineLevel="0" collapsed="false">
      <c r="A21" s="12" t="s">
        <v>1175</v>
      </c>
      <c r="B21" s="6" t="s">
        <v>1187</v>
      </c>
      <c r="C21" s="7" t="s">
        <v>1188</v>
      </c>
      <c r="D21" s="12" t="s">
        <v>1149</v>
      </c>
      <c r="E21" s="12" t="s">
        <v>1178</v>
      </c>
      <c r="F21" s="12" t="s">
        <v>1179</v>
      </c>
      <c r="G21" s="50" t="s">
        <v>1152</v>
      </c>
      <c r="H21" s="12" t="s">
        <v>1189</v>
      </c>
    </row>
    <row r="22" customFormat="false" ht="15" hidden="false" customHeight="false" outlineLevel="0" collapsed="false">
      <c r="A22" s="12" t="s">
        <v>1175</v>
      </c>
      <c r="B22" s="6" t="s">
        <v>1190</v>
      </c>
      <c r="C22" s="7" t="s">
        <v>1191</v>
      </c>
      <c r="D22" s="12" t="s">
        <v>1149</v>
      </c>
      <c r="E22" s="12" t="s">
        <v>1178</v>
      </c>
      <c r="F22" s="12" t="s">
        <v>1192</v>
      </c>
      <c r="G22" s="50" t="s">
        <v>1152</v>
      </c>
      <c r="H22" s="12" t="s">
        <v>1193</v>
      </c>
    </row>
    <row r="23" customFormat="false" ht="15" hidden="false" customHeight="false" outlineLevel="0" collapsed="false">
      <c r="A23" s="12" t="s">
        <v>1194</v>
      </c>
      <c r="B23" s="6" t="s">
        <v>1195</v>
      </c>
      <c r="C23" s="7" t="s">
        <v>1196</v>
      </c>
      <c r="D23" s="12" t="s">
        <v>1149</v>
      </c>
      <c r="E23" s="12" t="s">
        <v>1197</v>
      </c>
      <c r="F23" s="12" t="s">
        <v>1198</v>
      </c>
      <c r="G23" s="50" t="s">
        <v>1152</v>
      </c>
      <c r="H23" s="12" t="s">
        <v>1199</v>
      </c>
    </row>
    <row r="24" customFormat="false" ht="23.85" hidden="false" customHeight="false" outlineLevel="0" collapsed="false">
      <c r="A24" s="12" t="s">
        <v>1194</v>
      </c>
      <c r="B24" s="6" t="s">
        <v>1200</v>
      </c>
      <c r="C24" s="7" t="s">
        <v>1201</v>
      </c>
      <c r="D24" s="12" t="s">
        <v>1149</v>
      </c>
      <c r="E24" s="12" t="s">
        <v>1197</v>
      </c>
      <c r="F24" s="12" t="s">
        <v>1198</v>
      </c>
      <c r="G24" s="50" t="s">
        <v>1152</v>
      </c>
      <c r="H24" s="12" t="s">
        <v>1202</v>
      </c>
    </row>
    <row r="25" customFormat="false" ht="15" hidden="false" customHeight="false" outlineLevel="0" collapsed="false">
      <c r="A25" s="12" t="s">
        <v>1194</v>
      </c>
      <c r="B25" s="6" t="s">
        <v>1203</v>
      </c>
      <c r="C25" s="7" t="s">
        <v>1204</v>
      </c>
      <c r="D25" s="12" t="s">
        <v>1149</v>
      </c>
      <c r="E25" s="12" t="s">
        <v>1197</v>
      </c>
      <c r="F25" s="12" t="s">
        <v>1198</v>
      </c>
      <c r="G25" s="50" t="s">
        <v>1152</v>
      </c>
      <c r="H25" s="12" t="s">
        <v>1205</v>
      </c>
    </row>
    <row r="26" customFormat="false" ht="23.85" hidden="false" customHeight="false" outlineLevel="0" collapsed="false">
      <c r="A26" s="12" t="s">
        <v>1194</v>
      </c>
      <c r="B26" s="6" t="s">
        <v>1206</v>
      </c>
      <c r="C26" s="7" t="s">
        <v>1207</v>
      </c>
      <c r="D26" s="12" t="s">
        <v>1149</v>
      </c>
      <c r="E26" s="12" t="s">
        <v>1197</v>
      </c>
      <c r="F26" s="12" t="s">
        <v>1198</v>
      </c>
      <c r="G26" s="50" t="s">
        <v>1152</v>
      </c>
      <c r="H26" s="12" t="s">
        <v>1208</v>
      </c>
    </row>
    <row r="27" customFormat="false" ht="15" hidden="false" customHeight="false" outlineLevel="0" collapsed="false">
      <c r="A27" s="12" t="s">
        <v>1194</v>
      </c>
      <c r="B27" s="6" t="s">
        <v>1209</v>
      </c>
      <c r="C27" s="7" t="s">
        <v>1210</v>
      </c>
      <c r="D27" s="12" t="s">
        <v>1149</v>
      </c>
      <c r="E27" s="12" t="s">
        <v>1197</v>
      </c>
      <c r="F27" s="12" t="s">
        <v>1198</v>
      </c>
      <c r="G27" s="50" t="s">
        <v>1152</v>
      </c>
      <c r="H27" s="12" t="s">
        <v>1211</v>
      </c>
    </row>
    <row r="28" customFormat="false" ht="15" hidden="false" customHeight="false" outlineLevel="0" collapsed="false">
      <c r="A28" s="12" t="s">
        <v>1194</v>
      </c>
      <c r="B28" s="6" t="s">
        <v>1212</v>
      </c>
      <c r="C28" s="7" t="s">
        <v>1213</v>
      </c>
      <c r="D28" s="12" t="s">
        <v>1149</v>
      </c>
      <c r="E28" s="12" t="s">
        <v>1197</v>
      </c>
      <c r="F28" s="12" t="s">
        <v>1198</v>
      </c>
      <c r="G28" s="50" t="s">
        <v>1152</v>
      </c>
      <c r="H28" s="12" t="s">
        <v>1214</v>
      </c>
    </row>
    <row r="29" customFormat="false" ht="15" hidden="false" customHeight="false" outlineLevel="0" collapsed="false">
      <c r="A29" s="12" t="s">
        <v>1194</v>
      </c>
      <c r="B29" s="6" t="s">
        <v>1215</v>
      </c>
      <c r="C29" s="7" t="s">
        <v>1216</v>
      </c>
      <c r="D29" s="12" t="s">
        <v>1149</v>
      </c>
      <c r="E29" s="12" t="s">
        <v>1197</v>
      </c>
      <c r="F29" s="12" t="s">
        <v>1198</v>
      </c>
      <c r="G29" s="50" t="s">
        <v>1152</v>
      </c>
      <c r="H29" s="12" t="s">
        <v>1217</v>
      </c>
    </row>
    <row r="30" customFormat="false" ht="15" hidden="false" customHeight="false" outlineLevel="0" collapsed="false">
      <c r="A30" s="12" t="s">
        <v>1194</v>
      </c>
      <c r="B30" s="6" t="s">
        <v>1218</v>
      </c>
      <c r="C30" s="7" t="s">
        <v>1219</v>
      </c>
      <c r="D30" s="12" t="s">
        <v>1149</v>
      </c>
      <c r="E30" s="12" t="s">
        <v>1197</v>
      </c>
      <c r="F30" s="12" t="s">
        <v>1198</v>
      </c>
      <c r="G30" s="50" t="s">
        <v>1152</v>
      </c>
      <c r="H30" s="12" t="s">
        <v>1220</v>
      </c>
    </row>
    <row r="32" customFormat="false" ht="32.8" hidden="false" customHeight="false" outlineLevel="0" collapsed="false">
      <c r="A32" s="4" t="s">
        <v>1221</v>
      </c>
    </row>
    <row r="35" customFormat="false" ht="15" hidden="false" customHeight="false" outlineLevel="0" collapsed="false">
      <c r="A35" s="3" t="s">
        <v>1222</v>
      </c>
    </row>
    <row r="36" customFormat="false" ht="30" hidden="false" customHeight="true" outlineLevel="0" collapsed="false">
      <c r="A36" s="5" t="s">
        <v>1138</v>
      </c>
      <c r="B36" s="5" t="s">
        <v>164</v>
      </c>
      <c r="C36" s="5" t="s">
        <v>49</v>
      </c>
      <c r="D36" s="5" t="s">
        <v>824</v>
      </c>
      <c r="E36" s="5"/>
      <c r="F36" s="5"/>
      <c r="G36" s="5" t="s">
        <v>1223</v>
      </c>
      <c r="H36" s="5" t="s">
        <v>139</v>
      </c>
    </row>
    <row r="37" customFormat="false" ht="32.8" hidden="false" customHeight="false" outlineLevel="0" collapsed="false">
      <c r="A37" s="12" t="s">
        <v>1224</v>
      </c>
      <c r="B37" s="7" t="s">
        <v>1225</v>
      </c>
      <c r="C37" s="12" t="s">
        <v>1226</v>
      </c>
      <c r="D37" s="12" t="s">
        <v>1227</v>
      </c>
      <c r="E37" s="6"/>
      <c r="F37" s="6"/>
      <c r="G37" s="50" t="s">
        <v>1228</v>
      </c>
      <c r="H37" s="12" t="s">
        <v>1229</v>
      </c>
    </row>
    <row r="38" customFormat="false" ht="15" hidden="false" customHeight="false" outlineLevel="0" collapsed="false">
      <c r="A38" s="12" t="s">
        <v>1224</v>
      </c>
      <c r="B38" s="7" t="s">
        <v>1230</v>
      </c>
      <c r="C38" s="12" t="s">
        <v>1231</v>
      </c>
      <c r="D38" s="12" t="s">
        <v>1232</v>
      </c>
      <c r="E38" s="6"/>
      <c r="F38" s="6"/>
      <c r="G38" s="50" t="s">
        <v>1228</v>
      </c>
      <c r="H38" s="12" t="s">
        <v>1233</v>
      </c>
    </row>
    <row r="39" customFormat="false" ht="15" hidden="false" customHeight="false" outlineLevel="0" collapsed="false">
      <c r="A39" s="12" t="s">
        <v>1224</v>
      </c>
      <c r="B39" s="7" t="s">
        <v>1234</v>
      </c>
      <c r="C39" s="12" t="s">
        <v>1235</v>
      </c>
      <c r="D39" s="12" t="s">
        <v>1236</v>
      </c>
      <c r="E39" s="6"/>
      <c r="F39" s="6"/>
      <c r="G39" s="50" t="s">
        <v>1228</v>
      </c>
      <c r="H39" s="12" t="s">
        <v>1237</v>
      </c>
    </row>
    <row r="40" customFormat="false" ht="15" hidden="false" customHeight="false" outlineLevel="0" collapsed="false">
      <c r="A40" s="12" t="s">
        <v>1224</v>
      </c>
      <c r="B40" s="7" t="s">
        <v>1238</v>
      </c>
      <c r="C40" s="12" t="s">
        <v>1239</v>
      </c>
      <c r="D40" s="12" t="s">
        <v>200</v>
      </c>
      <c r="E40" s="6"/>
      <c r="F40" s="6"/>
      <c r="G40" s="50" t="s">
        <v>1228</v>
      </c>
      <c r="H40" s="12" t="s">
        <v>1240</v>
      </c>
    </row>
    <row r="41" customFormat="false" ht="23.85" hidden="false" customHeight="false" outlineLevel="0" collapsed="false">
      <c r="A41" s="12" t="s">
        <v>1241</v>
      </c>
      <c r="B41" s="7" t="s">
        <v>1242</v>
      </c>
      <c r="C41" s="12" t="s">
        <v>1243</v>
      </c>
      <c r="D41" s="12" t="s">
        <v>1244</v>
      </c>
      <c r="E41" s="6"/>
      <c r="F41" s="6"/>
      <c r="G41" s="50" t="s">
        <v>1228</v>
      </c>
      <c r="H41" s="12" t="s">
        <v>1245</v>
      </c>
    </row>
    <row r="42" customFormat="false" ht="23.85" hidden="false" customHeight="false" outlineLevel="0" collapsed="false">
      <c r="A42" s="12" t="s">
        <v>1241</v>
      </c>
      <c r="B42" s="7" t="s">
        <v>1246</v>
      </c>
      <c r="C42" s="12" t="s">
        <v>1243</v>
      </c>
      <c r="D42" s="12" t="s">
        <v>1247</v>
      </c>
      <c r="E42" s="6"/>
      <c r="F42" s="6"/>
      <c r="G42" s="50" t="s">
        <v>1228</v>
      </c>
      <c r="H42" s="12" t="s">
        <v>1248</v>
      </c>
    </row>
    <row r="43" customFormat="false" ht="15" hidden="false" customHeight="false" outlineLevel="0" collapsed="false">
      <c r="A43" s="12" t="s">
        <v>1241</v>
      </c>
      <c r="B43" s="7" t="s">
        <v>1249</v>
      </c>
      <c r="C43" s="12" t="s">
        <v>1243</v>
      </c>
      <c r="D43" s="12" t="s">
        <v>1250</v>
      </c>
      <c r="E43" s="6"/>
      <c r="F43" s="6"/>
      <c r="G43" s="50" t="s">
        <v>1228</v>
      </c>
      <c r="H43" s="12" t="s">
        <v>1251</v>
      </c>
    </row>
    <row r="44" customFormat="false" ht="15" hidden="false" customHeight="false" outlineLevel="0" collapsed="false">
      <c r="A44" s="12" t="s">
        <v>1241</v>
      </c>
      <c r="B44" s="7" t="s">
        <v>1252</v>
      </c>
      <c r="C44" s="12" t="s">
        <v>1243</v>
      </c>
      <c r="D44" s="12" t="s">
        <v>1253</v>
      </c>
      <c r="E44" s="6"/>
      <c r="F44" s="6"/>
      <c r="G44" s="50" t="s">
        <v>1228</v>
      </c>
      <c r="H44" s="12" t="s">
        <v>1254</v>
      </c>
    </row>
    <row r="45" customFormat="false" ht="15" hidden="false" customHeight="false" outlineLevel="0" collapsed="false">
      <c r="A45" s="12" t="s">
        <v>1241</v>
      </c>
      <c r="B45" s="7" t="s">
        <v>1255</v>
      </c>
      <c r="C45" s="12" t="s">
        <v>1243</v>
      </c>
      <c r="D45" s="12" t="s">
        <v>1250</v>
      </c>
      <c r="E45" s="6"/>
      <c r="F45" s="6"/>
      <c r="G45" s="50" t="s">
        <v>1228</v>
      </c>
      <c r="H45" s="12" t="s">
        <v>1256</v>
      </c>
    </row>
    <row r="46" customFormat="false" ht="15" hidden="false" customHeight="false" outlineLevel="0" collapsed="false">
      <c r="A46" s="12" t="s">
        <v>1241</v>
      </c>
      <c r="B46" s="7" t="s">
        <v>1257</v>
      </c>
      <c r="C46" s="12" t="s">
        <v>1258</v>
      </c>
      <c r="D46" s="12" t="s">
        <v>1259</v>
      </c>
      <c r="E46" s="6"/>
      <c r="F46" s="6"/>
      <c r="G46" s="50" t="s">
        <v>1228</v>
      </c>
      <c r="H46" s="12" t="s">
        <v>1260</v>
      </c>
    </row>
    <row r="47" customFormat="false" ht="15" hidden="false" customHeight="false" outlineLevel="0" collapsed="false">
      <c r="A47" s="12" t="s">
        <v>1241</v>
      </c>
      <c r="B47" s="7" t="s">
        <v>1261</v>
      </c>
      <c r="C47" s="12" t="s">
        <v>1262</v>
      </c>
      <c r="D47" s="12" t="s">
        <v>1263</v>
      </c>
      <c r="E47" s="6"/>
      <c r="F47" s="6"/>
      <c r="G47" s="50" t="s">
        <v>1228</v>
      </c>
      <c r="H47" s="12" t="s">
        <v>1264</v>
      </c>
    </row>
    <row r="48" customFormat="false" ht="22.35" hidden="false" customHeight="false" outlineLevel="0" collapsed="false">
      <c r="A48" s="12" t="s">
        <v>1265</v>
      </c>
      <c r="B48" s="7" t="s">
        <v>1266</v>
      </c>
      <c r="C48" s="12" t="s">
        <v>1267</v>
      </c>
      <c r="D48" s="12" t="s">
        <v>987</v>
      </c>
      <c r="E48" s="6"/>
      <c r="F48" s="6"/>
      <c r="G48" s="50" t="s">
        <v>1228</v>
      </c>
      <c r="H48" s="12" t="s">
        <v>1268</v>
      </c>
    </row>
    <row r="49" customFormat="false" ht="15" hidden="false" customHeight="false" outlineLevel="0" collapsed="false">
      <c r="A49" s="12" t="s">
        <v>1265</v>
      </c>
      <c r="B49" s="7" t="s">
        <v>1269</v>
      </c>
      <c r="C49" s="12" t="s">
        <v>1270</v>
      </c>
      <c r="D49" s="12" t="s">
        <v>1271</v>
      </c>
      <c r="E49" s="6"/>
      <c r="F49" s="6"/>
      <c r="G49" s="50" t="s">
        <v>1228</v>
      </c>
      <c r="H49" s="12" t="s">
        <v>1272</v>
      </c>
    </row>
    <row r="50" customFormat="false" ht="15" hidden="false" customHeight="false" outlineLevel="0" collapsed="false">
      <c r="A50" s="12" t="s">
        <v>1265</v>
      </c>
      <c r="B50" s="7" t="s">
        <v>1273</v>
      </c>
      <c r="C50" s="12" t="s">
        <v>1144</v>
      </c>
      <c r="D50" s="12" t="s">
        <v>1271</v>
      </c>
      <c r="E50" s="6"/>
      <c r="F50" s="6"/>
      <c r="G50" s="50" t="s">
        <v>1228</v>
      </c>
      <c r="H50" s="12" t="s">
        <v>1274</v>
      </c>
    </row>
    <row r="51" customFormat="false" ht="23.85" hidden="false" customHeight="false" outlineLevel="0" collapsed="false">
      <c r="A51" s="12" t="s">
        <v>1265</v>
      </c>
      <c r="B51" s="7" t="s">
        <v>1275</v>
      </c>
      <c r="C51" s="12" t="s">
        <v>1239</v>
      </c>
      <c r="D51" s="12" t="s">
        <v>1276</v>
      </c>
      <c r="E51" s="6"/>
      <c r="F51" s="6"/>
      <c r="G51" s="50" t="s">
        <v>1228</v>
      </c>
      <c r="H51" s="12" t="s">
        <v>1277</v>
      </c>
    </row>
    <row r="52" customFormat="false" ht="22.35" hidden="false" customHeight="false" outlineLevel="0" collapsed="false">
      <c r="A52" s="12" t="s">
        <v>1278</v>
      </c>
      <c r="B52" s="7" t="s">
        <v>1279</v>
      </c>
      <c r="C52" s="12" t="s">
        <v>1280</v>
      </c>
      <c r="D52" s="12" t="s">
        <v>1281</v>
      </c>
      <c r="E52" s="6"/>
      <c r="F52" s="6"/>
      <c r="G52" s="50" t="s">
        <v>1228</v>
      </c>
      <c r="H52" s="12" t="s">
        <v>1282</v>
      </c>
    </row>
    <row r="53" customFormat="false" ht="15" hidden="false" customHeight="false" outlineLevel="0" collapsed="false">
      <c r="A53" s="12" t="s">
        <v>1278</v>
      </c>
      <c r="B53" s="7" t="s">
        <v>1283</v>
      </c>
      <c r="C53" s="12" t="s">
        <v>1239</v>
      </c>
      <c r="D53" s="12" t="s">
        <v>1284</v>
      </c>
      <c r="E53" s="6"/>
      <c r="F53" s="6"/>
      <c r="G53" s="50" t="s">
        <v>1228</v>
      </c>
      <c r="H53" s="12" t="s">
        <v>1285</v>
      </c>
    </row>
    <row r="54" customFormat="false" ht="15" hidden="false" customHeight="false" outlineLevel="0" collapsed="false">
      <c r="A54" s="12" t="s">
        <v>1278</v>
      </c>
      <c r="B54" s="7" t="s">
        <v>1286</v>
      </c>
      <c r="C54" s="12" t="s">
        <v>1287</v>
      </c>
      <c r="D54" s="12" t="s">
        <v>1288</v>
      </c>
      <c r="E54" s="6"/>
      <c r="F54" s="6"/>
      <c r="G54" s="50" t="s">
        <v>1228</v>
      </c>
      <c r="H54" s="12" t="s">
        <v>1289</v>
      </c>
    </row>
    <row r="55" customFormat="false" ht="15" hidden="false" customHeight="false" outlineLevel="0" collapsed="false">
      <c r="A55" s="12" t="s">
        <v>1278</v>
      </c>
      <c r="B55" s="7" t="s">
        <v>1290</v>
      </c>
      <c r="C55" s="12" t="s">
        <v>1291</v>
      </c>
      <c r="D55" s="12" t="s">
        <v>1292</v>
      </c>
      <c r="E55" s="6"/>
      <c r="F55" s="6"/>
      <c r="G55" s="50" t="s">
        <v>1228</v>
      </c>
      <c r="H55" s="12" t="s">
        <v>1293</v>
      </c>
    </row>
    <row r="56" customFormat="false" ht="15" hidden="false" customHeight="false" outlineLevel="0" collapsed="false">
      <c r="A56" s="12" t="s">
        <v>1294</v>
      </c>
      <c r="B56" s="7" t="s">
        <v>1295</v>
      </c>
      <c r="C56" s="12" t="s">
        <v>1239</v>
      </c>
      <c r="D56" s="12" t="s">
        <v>209</v>
      </c>
      <c r="E56" s="6"/>
      <c r="F56" s="6"/>
      <c r="G56" s="50" t="s">
        <v>1228</v>
      </c>
      <c r="H56" s="12" t="s">
        <v>1296</v>
      </c>
    </row>
    <row r="57" customFormat="false" ht="15" hidden="false" customHeight="false" outlineLevel="0" collapsed="false">
      <c r="A57" s="12" t="s">
        <v>1294</v>
      </c>
      <c r="B57" s="7" t="s">
        <v>1297</v>
      </c>
      <c r="C57" s="12" t="s">
        <v>1243</v>
      </c>
      <c r="D57" s="12" t="s">
        <v>214</v>
      </c>
      <c r="E57" s="6"/>
      <c r="F57" s="6"/>
      <c r="G57" s="50" t="s">
        <v>1228</v>
      </c>
      <c r="H57" s="12" t="s">
        <v>1298</v>
      </c>
    </row>
    <row r="58" customFormat="false" ht="15" hidden="false" customHeight="false" outlineLevel="0" collapsed="false">
      <c r="A58" s="12" t="s">
        <v>1294</v>
      </c>
      <c r="B58" s="7" t="s">
        <v>1299</v>
      </c>
      <c r="C58" s="12" t="s">
        <v>1239</v>
      </c>
      <c r="D58" s="12" t="s">
        <v>106</v>
      </c>
      <c r="E58" s="6"/>
      <c r="F58" s="6"/>
      <c r="G58" s="50" t="s">
        <v>1228</v>
      </c>
      <c r="H58" s="12" t="s">
        <v>1300</v>
      </c>
    </row>
    <row r="59" customFormat="false" ht="15" hidden="false" customHeight="false" outlineLevel="0" collapsed="false">
      <c r="A59" s="12" t="s">
        <v>1294</v>
      </c>
      <c r="B59" s="7" t="s">
        <v>1301</v>
      </c>
      <c r="C59" s="12" t="s">
        <v>1027</v>
      </c>
      <c r="D59" s="12" t="s">
        <v>1302</v>
      </c>
      <c r="E59" s="6"/>
      <c r="F59" s="6"/>
      <c r="G59" s="50" t="s">
        <v>1228</v>
      </c>
      <c r="H59" s="12" t="s">
        <v>1303</v>
      </c>
    </row>
    <row r="60" customFormat="false" ht="23.85" hidden="false" customHeight="false" outlineLevel="0" collapsed="false">
      <c r="A60" s="12" t="s">
        <v>1304</v>
      </c>
      <c r="B60" s="7" t="s">
        <v>1305</v>
      </c>
      <c r="C60" s="12" t="s">
        <v>1239</v>
      </c>
      <c r="D60" s="12" t="s">
        <v>1306</v>
      </c>
      <c r="E60" s="6"/>
      <c r="F60" s="6"/>
      <c r="G60" s="50" t="s">
        <v>1228</v>
      </c>
      <c r="H60" s="12" t="s">
        <v>1307</v>
      </c>
    </row>
    <row r="61" customFormat="false" ht="22.35" hidden="false" customHeight="false" outlineLevel="0" collapsed="false">
      <c r="A61" s="12" t="s">
        <v>1304</v>
      </c>
      <c r="B61" s="7" t="s">
        <v>1308</v>
      </c>
      <c r="C61" s="12" t="s">
        <v>1309</v>
      </c>
      <c r="D61" s="12" t="s">
        <v>1310</v>
      </c>
      <c r="E61" s="6"/>
      <c r="F61" s="6"/>
      <c r="G61" s="50" t="s">
        <v>1228</v>
      </c>
      <c r="H61" s="12" t="s">
        <v>1311</v>
      </c>
    </row>
    <row r="62" customFormat="false" ht="15" hidden="false" customHeight="false" outlineLevel="0" collapsed="false">
      <c r="A62" s="12" t="s">
        <v>1304</v>
      </c>
      <c r="B62" s="7" t="s">
        <v>1312</v>
      </c>
      <c r="C62" s="12" t="s">
        <v>1313</v>
      </c>
      <c r="D62" s="12" t="s">
        <v>1314</v>
      </c>
      <c r="E62" s="6"/>
      <c r="F62" s="6"/>
      <c r="G62" s="50" t="s">
        <v>1228</v>
      </c>
      <c r="H62" s="12" t="s">
        <v>1315</v>
      </c>
    </row>
    <row r="63" customFormat="false" ht="15" hidden="false" customHeight="false" outlineLevel="0" collapsed="false">
      <c r="A63" s="12" t="s">
        <v>1304</v>
      </c>
      <c r="B63" s="7" t="s">
        <v>1316</v>
      </c>
      <c r="C63" s="12" t="s">
        <v>1313</v>
      </c>
      <c r="D63" s="12" t="s">
        <v>1317</v>
      </c>
      <c r="E63" s="6"/>
      <c r="F63" s="6"/>
      <c r="G63" s="50" t="s">
        <v>1228</v>
      </c>
      <c r="H63" s="12" t="s">
        <v>1318</v>
      </c>
    </row>
    <row r="64" customFormat="false" ht="22.35" hidden="false" customHeight="false" outlineLevel="0" collapsed="false">
      <c r="A64" s="12" t="s">
        <v>1319</v>
      </c>
      <c r="B64" s="7" t="s">
        <v>1320</v>
      </c>
      <c r="C64" s="12" t="s">
        <v>1321</v>
      </c>
      <c r="D64" s="12" t="s">
        <v>1292</v>
      </c>
      <c r="E64" s="6"/>
      <c r="F64" s="6"/>
      <c r="G64" s="50" t="s">
        <v>1228</v>
      </c>
      <c r="H64" s="12" t="s">
        <v>1322</v>
      </c>
    </row>
    <row r="65" customFormat="false" ht="15" hidden="false" customHeight="false" outlineLevel="0" collapsed="false">
      <c r="A65" s="12" t="s">
        <v>1319</v>
      </c>
      <c r="B65" s="7" t="s">
        <v>1323</v>
      </c>
      <c r="C65" s="12" t="s">
        <v>1324</v>
      </c>
      <c r="D65" s="12" t="s">
        <v>1325</v>
      </c>
      <c r="E65" s="6"/>
      <c r="F65" s="6"/>
      <c r="G65" s="50" t="s">
        <v>1228</v>
      </c>
      <c r="H65" s="12" t="s">
        <v>1326</v>
      </c>
    </row>
    <row r="66" customFormat="false" ht="15" hidden="false" customHeight="false" outlineLevel="0" collapsed="false">
      <c r="A66" s="12" t="s">
        <v>1319</v>
      </c>
      <c r="B66" s="7" t="s">
        <v>1327</v>
      </c>
      <c r="C66" s="12" t="s">
        <v>1328</v>
      </c>
      <c r="D66" s="12" t="s">
        <v>1292</v>
      </c>
      <c r="E66" s="6"/>
      <c r="F66" s="6"/>
      <c r="G66" s="50" t="s">
        <v>1228</v>
      </c>
      <c r="H66" s="12" t="s">
        <v>1329</v>
      </c>
    </row>
    <row r="67" customFormat="false" ht="15" hidden="false" customHeight="false" outlineLevel="0" collapsed="false">
      <c r="A67" s="12" t="s">
        <v>1319</v>
      </c>
      <c r="B67" s="7" t="s">
        <v>1330</v>
      </c>
      <c r="C67" s="12" t="s">
        <v>1331</v>
      </c>
      <c r="D67" s="12" t="s">
        <v>1332</v>
      </c>
      <c r="E67" s="6"/>
      <c r="F67" s="6"/>
      <c r="G67" s="50" t="s">
        <v>1228</v>
      </c>
      <c r="H67" s="12" t="s">
        <v>1333</v>
      </c>
    </row>
    <row r="68" customFormat="false" ht="15" hidden="false" customHeight="false" outlineLevel="0" collapsed="false">
      <c r="A68" s="12" t="s">
        <v>1319</v>
      </c>
      <c r="B68" s="7" t="s">
        <v>1334</v>
      </c>
      <c r="C68" s="12" t="s">
        <v>1335</v>
      </c>
      <c r="D68" s="12" t="s">
        <v>1332</v>
      </c>
      <c r="E68" s="6"/>
      <c r="F68" s="6"/>
      <c r="G68" s="50" t="s">
        <v>1228</v>
      </c>
      <c r="H68" s="12" t="s">
        <v>1336</v>
      </c>
    </row>
    <row r="70" customFormat="false" ht="15" hidden="false" customHeight="false" outlineLevel="0" collapsed="false">
      <c r="A70" s="3" t="s">
        <v>1337</v>
      </c>
    </row>
    <row r="71" customFormat="false" ht="30" hidden="false" customHeight="true" outlineLevel="0" collapsed="false">
      <c r="A71" s="5" t="s">
        <v>1338</v>
      </c>
      <c r="B71" s="5" t="s">
        <v>164</v>
      </c>
      <c r="C71" s="5"/>
      <c r="D71" s="5"/>
      <c r="E71" s="5"/>
      <c r="F71" s="5"/>
      <c r="G71" s="5"/>
      <c r="H71" s="5" t="s">
        <v>1339</v>
      </c>
    </row>
    <row r="72" customFormat="false" ht="15" hidden="false" customHeight="false" outlineLevel="0" collapsed="false">
      <c r="A72" s="7" t="n">
        <v>1</v>
      </c>
      <c r="B72" s="7" t="s">
        <v>1340</v>
      </c>
      <c r="C72" s="6"/>
      <c r="D72" s="6"/>
      <c r="E72" s="6"/>
      <c r="F72" s="6"/>
      <c r="G72" s="6"/>
      <c r="H72" s="12" t="s">
        <v>1341</v>
      </c>
    </row>
    <row r="73" customFormat="false" ht="15" hidden="false" customHeight="false" outlineLevel="0" collapsed="false">
      <c r="A73" s="7" t="n">
        <v>2</v>
      </c>
      <c r="B73" s="7" t="s">
        <v>1342</v>
      </c>
      <c r="C73" s="6"/>
      <c r="D73" s="6"/>
      <c r="E73" s="6"/>
      <c r="F73" s="6"/>
      <c r="G73" s="6"/>
      <c r="H73" s="12" t="s">
        <v>1343</v>
      </c>
    </row>
    <row r="74" customFormat="false" ht="22.35" hidden="false" customHeight="false" outlineLevel="0" collapsed="false">
      <c r="A74" s="7" t="n">
        <v>3</v>
      </c>
      <c r="B74" s="7" t="s">
        <v>931</v>
      </c>
      <c r="C74" s="6"/>
      <c r="D74" s="6"/>
      <c r="E74" s="6"/>
      <c r="F74" s="6"/>
      <c r="G74" s="6"/>
      <c r="H74" s="12" t="s">
        <v>1344</v>
      </c>
    </row>
    <row r="75" customFormat="false" ht="15" hidden="false" customHeight="false" outlineLevel="0" collapsed="false">
      <c r="A75" s="7" t="n">
        <v>4</v>
      </c>
      <c r="B75" s="7" t="s">
        <v>1345</v>
      </c>
      <c r="C75" s="6"/>
      <c r="D75" s="6"/>
      <c r="E75" s="6"/>
      <c r="F75" s="6"/>
      <c r="G75" s="6"/>
      <c r="H75" s="12" t="s">
        <v>1346</v>
      </c>
    </row>
    <row r="76" customFormat="false" ht="15" hidden="false" customHeight="false" outlineLevel="0" collapsed="false">
      <c r="A76" s="7" t="n">
        <v>5</v>
      </c>
      <c r="B76" s="7" t="s">
        <v>1347</v>
      </c>
      <c r="C76" s="6"/>
      <c r="D76" s="6"/>
      <c r="E76" s="6"/>
      <c r="F76" s="6"/>
      <c r="G76" s="6"/>
      <c r="H76" s="12" t="s">
        <v>1348</v>
      </c>
    </row>
    <row r="77" customFormat="false" ht="15" hidden="false" customHeight="false" outlineLevel="0" collapsed="false">
      <c r="A77" s="7" t="n">
        <v>6</v>
      </c>
      <c r="B77" s="7" t="s">
        <v>1349</v>
      </c>
      <c r="C77" s="6"/>
      <c r="D77" s="6"/>
      <c r="E77" s="6"/>
      <c r="F77" s="6"/>
      <c r="G77" s="6"/>
      <c r="H77" s="12" t="s">
        <v>1350</v>
      </c>
    </row>
    <row r="79" customFormat="false" ht="15" hidden="false" customHeight="false" outlineLevel="0" collapsed="false">
      <c r="A79" s="3" t="s">
        <v>1351</v>
      </c>
    </row>
    <row r="80" customFormat="false" ht="30" hidden="false" customHeight="true" outlineLevel="0" collapsed="false">
      <c r="A80" s="5" t="s">
        <v>235</v>
      </c>
      <c r="B80" s="5" t="s">
        <v>841</v>
      </c>
      <c r="C80" s="5"/>
      <c r="D80" s="5"/>
      <c r="E80" s="5"/>
      <c r="F80" s="5"/>
      <c r="G80" s="5"/>
      <c r="H80" s="5" t="s">
        <v>139</v>
      </c>
    </row>
    <row r="81" customFormat="false" ht="15" hidden="false" customHeight="false" outlineLevel="0" collapsed="false">
      <c r="A81" s="7" t="s">
        <v>1352</v>
      </c>
      <c r="B81" s="7" t="s">
        <v>1353</v>
      </c>
      <c r="C81" s="6"/>
      <c r="D81" s="6"/>
      <c r="E81" s="6"/>
      <c r="F81" s="6"/>
      <c r="G81" s="6"/>
      <c r="H81" s="12" t="s">
        <v>1354</v>
      </c>
    </row>
    <row r="82" customFormat="false" ht="23.85" hidden="false" customHeight="false" outlineLevel="0" collapsed="false">
      <c r="A82" s="7" t="s">
        <v>1355</v>
      </c>
      <c r="B82" s="7" t="s">
        <v>1356</v>
      </c>
      <c r="C82" s="6"/>
      <c r="D82" s="6"/>
      <c r="E82" s="6"/>
      <c r="F82" s="6"/>
      <c r="G82" s="6"/>
      <c r="H82" s="12" t="s">
        <v>1357</v>
      </c>
    </row>
    <row r="83" customFormat="false" ht="23.85" hidden="false" customHeight="false" outlineLevel="0" collapsed="false">
      <c r="A83" s="7" t="s">
        <v>1358</v>
      </c>
      <c r="B83" s="7" t="s">
        <v>851</v>
      </c>
      <c r="C83" s="6"/>
      <c r="D83" s="6"/>
      <c r="E83" s="6"/>
      <c r="F83" s="6"/>
      <c r="G83" s="6"/>
      <c r="H83" s="12" t="s">
        <v>1359</v>
      </c>
    </row>
    <row r="84" customFormat="false" ht="15" hidden="false" customHeight="false" outlineLevel="0" collapsed="false">
      <c r="A84" s="7" t="s">
        <v>1360</v>
      </c>
      <c r="B84" s="7" t="s">
        <v>1361</v>
      </c>
      <c r="C84" s="6"/>
      <c r="D84" s="6"/>
      <c r="E84" s="6"/>
      <c r="F84" s="6"/>
      <c r="G84" s="6"/>
      <c r="H84" s="12" t="s">
        <v>1362</v>
      </c>
    </row>
    <row r="85" customFormat="false" ht="23.85" hidden="false" customHeight="false" outlineLevel="0" collapsed="false">
      <c r="A85" s="7" t="s">
        <v>1363</v>
      </c>
      <c r="B85" s="7" t="s">
        <v>843</v>
      </c>
      <c r="C85" s="6"/>
      <c r="D85" s="6"/>
      <c r="E85" s="6"/>
      <c r="F85" s="6"/>
      <c r="G85" s="6"/>
      <c r="H85" s="12" t="s">
        <v>1364</v>
      </c>
    </row>
  </sheetData>
  <autoFilter ref="A7:H30"/>
  <hyperlinks>
    <hyperlink ref="G8" r:id="rId1" display="csv"/>
    <hyperlink ref="G9" r:id="rId2" display="csv"/>
    <hyperlink ref="G10" r:id="rId3" display="csv"/>
    <hyperlink ref="G11" r:id="rId4" display="csv"/>
    <hyperlink ref="G12" r:id="rId5" display="csv"/>
    <hyperlink ref="G13" r:id="rId6" display="csv"/>
    <hyperlink ref="G14" r:id="rId7" display="csv"/>
    <hyperlink ref="G15" r:id="rId8" display="csv"/>
    <hyperlink ref="G16" r:id="rId9" display="csv"/>
    <hyperlink ref="G17" r:id="rId10" display="csv"/>
    <hyperlink ref="G18" r:id="rId11" display="csv"/>
    <hyperlink ref="G19" r:id="rId12" display="csv"/>
    <hyperlink ref="G20" r:id="rId13" display="csv"/>
    <hyperlink ref="G21" r:id="rId14" display="csv"/>
    <hyperlink ref="G22" r:id="rId15" display="csv"/>
    <hyperlink ref="G23" r:id="rId16" display="csv"/>
    <hyperlink ref="G24" r:id="rId17" display="csv"/>
    <hyperlink ref="G25" r:id="rId18" display="csv"/>
    <hyperlink ref="G26" r:id="rId19" display="csv"/>
    <hyperlink ref="G27" r:id="rId20" display="csv"/>
    <hyperlink ref="G28" r:id="rId21" display="csv"/>
    <hyperlink ref="G29" r:id="rId22" display="csv"/>
    <hyperlink ref="G30" r:id="rId23" display="csv"/>
    <hyperlink ref="G37" r:id="rId24" display="open"/>
    <hyperlink ref="G38" r:id="rId25" display="open"/>
    <hyperlink ref="G39" r:id="rId26" display="open"/>
    <hyperlink ref="G40" r:id="rId27" display="open"/>
    <hyperlink ref="G41" r:id="rId28" display="open"/>
    <hyperlink ref="G42" r:id="rId29" display="open"/>
    <hyperlink ref="G43" r:id="rId30" display="open"/>
    <hyperlink ref="G44" r:id="rId31" display="open"/>
    <hyperlink ref="G45" r:id="rId32" display="open"/>
    <hyperlink ref="G46" r:id="rId33" display="open"/>
    <hyperlink ref="G47" r:id="rId34" display="open"/>
    <hyperlink ref="G48" r:id="rId35" display="open"/>
    <hyperlink ref="G49" r:id="rId36" display="open"/>
    <hyperlink ref="G50" r:id="rId37" display="open"/>
    <hyperlink ref="G51" r:id="rId38" display="open"/>
    <hyperlink ref="G52" r:id="rId39" display="open"/>
    <hyperlink ref="G53" r:id="rId40" display="open"/>
    <hyperlink ref="G54" r:id="rId41" display="open"/>
    <hyperlink ref="G55" r:id="rId42" display="open"/>
    <hyperlink ref="G56" r:id="rId43" display="open"/>
    <hyperlink ref="G57" r:id="rId44" display="open"/>
    <hyperlink ref="G58" r:id="rId45" display="open"/>
    <hyperlink ref="G59" r:id="rId46" display="open"/>
    <hyperlink ref="G60" r:id="rId47" display="open"/>
    <hyperlink ref="G61" r:id="rId48" display="open"/>
    <hyperlink ref="G62" r:id="rId49" display="open"/>
    <hyperlink ref="G63" r:id="rId50" display="open"/>
    <hyperlink ref="G64" r:id="rId51" display="open"/>
    <hyperlink ref="G65" r:id="rId52" display="open"/>
    <hyperlink ref="G66" r:id="rId53" display="open"/>
    <hyperlink ref="G67" r:id="rId54" display="open"/>
    <hyperlink ref="G68" r:id="rId55"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451C"/>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74"/>
    <col collapsed="false" customWidth="true" hidden="false" outlineLevel="0" max="4" min="4" style="0" width="13"/>
    <col collapsed="false" customWidth="true" hidden="false" outlineLevel="0" max="5" min="5" style="0" width="11"/>
  </cols>
  <sheetData>
    <row r="1" customFormat="false" ht="21.75" hidden="false" customHeight="true" outlineLevel="0" collapsed="false">
      <c r="A1" s="1" t="s">
        <v>1365</v>
      </c>
    </row>
    <row r="2" customFormat="false" ht="15" hidden="false" customHeight="false" outlineLevel="0" collapsed="false">
      <c r="A2" s="2" t="s">
        <v>1366</v>
      </c>
    </row>
    <row r="4" customFormat="false" ht="15" hidden="false" customHeight="false" outlineLevel="0" collapsed="false">
      <c r="A4" s="3" t="s">
        <v>1367</v>
      </c>
    </row>
    <row r="5" customFormat="false" ht="30" hidden="false" customHeight="true" outlineLevel="0" collapsed="false">
      <c r="A5" s="5" t="s">
        <v>1368</v>
      </c>
      <c r="B5" s="5" t="s">
        <v>1369</v>
      </c>
      <c r="C5" s="5" t="s">
        <v>1370</v>
      </c>
      <c r="D5" s="5" t="s">
        <v>1371</v>
      </c>
      <c r="E5" s="5" t="s">
        <v>1223</v>
      </c>
    </row>
    <row r="6" customFormat="false" ht="78" hidden="false" customHeight="true" outlineLevel="0" collapsed="false">
      <c r="A6" s="7" t="s">
        <v>1372</v>
      </c>
      <c r="B6" s="12" t="s">
        <v>1373</v>
      </c>
      <c r="C6" s="6" t="s">
        <v>1374</v>
      </c>
      <c r="D6" s="12" t="s">
        <v>1375</v>
      </c>
      <c r="E6" s="50" t="s">
        <v>1376</v>
      </c>
    </row>
    <row r="7" customFormat="false" ht="78" hidden="false" customHeight="true" outlineLevel="0" collapsed="false">
      <c r="A7" s="7" t="s">
        <v>1377</v>
      </c>
      <c r="B7" s="12" t="s">
        <v>1373</v>
      </c>
      <c r="C7" s="6" t="s">
        <v>1378</v>
      </c>
      <c r="D7" s="12" t="s">
        <v>1379</v>
      </c>
      <c r="E7" s="50" t="s">
        <v>1376</v>
      </c>
    </row>
    <row r="8" customFormat="false" ht="78" hidden="false" customHeight="true" outlineLevel="0" collapsed="false">
      <c r="A8" s="7" t="s">
        <v>1372</v>
      </c>
      <c r="B8" s="12" t="s">
        <v>1373</v>
      </c>
      <c r="C8" s="6" t="s">
        <v>1380</v>
      </c>
      <c r="D8" s="12" t="s">
        <v>1381</v>
      </c>
      <c r="E8" s="50" t="s">
        <v>1376</v>
      </c>
    </row>
    <row r="9" customFormat="false" ht="78" hidden="false" customHeight="true" outlineLevel="0" collapsed="false">
      <c r="A9" s="7" t="s">
        <v>1382</v>
      </c>
      <c r="B9" s="12" t="s">
        <v>1373</v>
      </c>
      <c r="C9" s="6" t="s">
        <v>1383</v>
      </c>
      <c r="D9" s="12" t="s">
        <v>1384</v>
      </c>
      <c r="E9" s="50" t="s">
        <v>1376</v>
      </c>
    </row>
    <row r="10" customFormat="false" ht="78" hidden="false" customHeight="true" outlineLevel="0" collapsed="false">
      <c r="A10" s="7" t="s">
        <v>1385</v>
      </c>
      <c r="B10" s="12" t="s">
        <v>1386</v>
      </c>
      <c r="C10" s="6" t="s">
        <v>1387</v>
      </c>
      <c r="D10" s="12" t="s">
        <v>1388</v>
      </c>
      <c r="E10" s="50" t="s">
        <v>1376</v>
      </c>
    </row>
    <row r="11" customFormat="false" ht="78" hidden="false" customHeight="true" outlineLevel="0" collapsed="false">
      <c r="A11" s="7" t="s">
        <v>1385</v>
      </c>
      <c r="B11" s="12" t="s">
        <v>1386</v>
      </c>
      <c r="C11" s="6" t="s">
        <v>1389</v>
      </c>
      <c r="D11" s="12" t="s">
        <v>1390</v>
      </c>
      <c r="E11" s="50" t="s">
        <v>1376</v>
      </c>
    </row>
    <row r="12" customFormat="false" ht="78" hidden="false" customHeight="true" outlineLevel="0" collapsed="false">
      <c r="A12" s="7" t="s">
        <v>1391</v>
      </c>
      <c r="B12" s="12" t="s">
        <v>1386</v>
      </c>
      <c r="C12" s="6" t="s">
        <v>1392</v>
      </c>
      <c r="D12" s="12" t="s">
        <v>1393</v>
      </c>
      <c r="E12" s="50" t="s">
        <v>1376</v>
      </c>
    </row>
    <row r="14" customFormat="false" ht="85.05" hidden="false" customHeight="false" outlineLevel="0" collapsed="false">
      <c r="A14" s="4" t="s">
        <v>1394</v>
      </c>
    </row>
    <row r="17" customFormat="false" ht="15" hidden="false" customHeight="false" outlineLevel="0" collapsed="false">
      <c r="A17" s="3" t="s">
        <v>1395</v>
      </c>
    </row>
    <row r="18" customFormat="false" ht="30" hidden="false" customHeight="true" outlineLevel="0" collapsed="false">
      <c r="A18" s="5" t="s">
        <v>1396</v>
      </c>
      <c r="B18" s="5" t="s">
        <v>1141</v>
      </c>
      <c r="C18" s="5" t="s">
        <v>1145</v>
      </c>
      <c r="D18" s="5" t="s">
        <v>1397</v>
      </c>
      <c r="E18" s="5" t="s">
        <v>1223</v>
      </c>
    </row>
    <row r="19" customFormat="false" ht="45.75" hidden="false" customHeight="true" outlineLevel="0" collapsed="false">
      <c r="A19" s="7" t="s">
        <v>1398</v>
      </c>
      <c r="B19" s="12" t="s">
        <v>1149</v>
      </c>
      <c r="C19" s="6" t="s">
        <v>1399</v>
      </c>
      <c r="D19" s="12" t="s">
        <v>1400</v>
      </c>
      <c r="E19" s="50" t="s">
        <v>1228</v>
      </c>
    </row>
    <row r="20" customFormat="false" ht="45.75" hidden="false" customHeight="true" outlineLevel="0" collapsed="false">
      <c r="A20" s="7" t="s">
        <v>1401</v>
      </c>
      <c r="B20" s="12" t="s">
        <v>1402</v>
      </c>
      <c r="C20" s="6" t="s">
        <v>1403</v>
      </c>
      <c r="D20" s="12" t="s">
        <v>1404</v>
      </c>
      <c r="E20" s="50" t="s">
        <v>1228</v>
      </c>
    </row>
    <row r="21" customFormat="false" ht="45.75" hidden="false" customHeight="true" outlineLevel="0" collapsed="false">
      <c r="A21" s="7" t="s">
        <v>1405</v>
      </c>
      <c r="B21" s="12" t="s">
        <v>38</v>
      </c>
      <c r="C21" s="6" t="s">
        <v>1406</v>
      </c>
      <c r="D21" s="12" t="s">
        <v>1407</v>
      </c>
      <c r="E21" s="50" t="s">
        <v>1228</v>
      </c>
    </row>
    <row r="22" customFormat="false" ht="45.75" hidden="false" customHeight="true" outlineLevel="0" collapsed="false">
      <c r="A22" s="7" t="s">
        <v>1408</v>
      </c>
      <c r="B22" s="12" t="s">
        <v>1149</v>
      </c>
      <c r="C22" s="6" t="s">
        <v>1409</v>
      </c>
      <c r="D22" s="12" t="s">
        <v>1410</v>
      </c>
      <c r="E22" s="50" t="s">
        <v>1228</v>
      </c>
    </row>
    <row r="23" customFormat="false" ht="45.75" hidden="false" customHeight="true" outlineLevel="0" collapsed="false">
      <c r="A23" s="7" t="s">
        <v>1411</v>
      </c>
      <c r="B23" s="12" t="s">
        <v>1149</v>
      </c>
      <c r="C23" s="6" t="s">
        <v>1412</v>
      </c>
      <c r="D23" s="12" t="s">
        <v>1413</v>
      </c>
      <c r="E23" s="50" t="s">
        <v>1228</v>
      </c>
    </row>
    <row r="24" customFormat="false" ht="45.75" hidden="false" customHeight="true" outlineLevel="0" collapsed="false">
      <c r="A24" s="7" t="s">
        <v>1414</v>
      </c>
      <c r="B24" s="12" t="s">
        <v>1415</v>
      </c>
      <c r="C24" s="6" t="s">
        <v>1416</v>
      </c>
      <c r="D24" s="12" t="s">
        <v>1349</v>
      </c>
      <c r="E24" s="50" t="s">
        <v>1228</v>
      </c>
    </row>
    <row r="25" customFormat="false" ht="45.75" hidden="false" customHeight="true" outlineLevel="0" collapsed="false">
      <c r="A25" s="7" t="s">
        <v>1417</v>
      </c>
      <c r="B25" s="12" t="s">
        <v>1149</v>
      </c>
      <c r="C25" s="6" t="s">
        <v>1418</v>
      </c>
      <c r="D25" s="12" t="s">
        <v>1419</v>
      </c>
      <c r="E25" s="50" t="s">
        <v>1228</v>
      </c>
    </row>
    <row r="26" customFormat="false" ht="45.75" hidden="false" customHeight="true" outlineLevel="0" collapsed="false">
      <c r="A26" s="7" t="s">
        <v>1420</v>
      </c>
      <c r="B26" s="12" t="s">
        <v>1421</v>
      </c>
      <c r="C26" s="6" t="s">
        <v>1422</v>
      </c>
      <c r="D26" s="12" t="s">
        <v>1423</v>
      </c>
      <c r="E26" s="50" t="s">
        <v>1228</v>
      </c>
    </row>
    <row r="29" customFormat="false" ht="15" hidden="false" customHeight="false" outlineLevel="0" collapsed="false">
      <c r="A29" s="3" t="s">
        <v>1424</v>
      </c>
    </row>
    <row r="30" customFormat="false" ht="30" hidden="false" customHeight="true" outlineLevel="0" collapsed="false">
      <c r="A30" s="5" t="s">
        <v>1425</v>
      </c>
      <c r="B30" s="5" t="s">
        <v>1426</v>
      </c>
      <c r="C30" s="5" t="s">
        <v>1427</v>
      </c>
      <c r="D30" s="5"/>
      <c r="E30" s="5"/>
    </row>
    <row r="31" customFormat="false" ht="42" hidden="false" customHeight="true" outlineLevel="0" collapsed="false">
      <c r="A31" s="7" t="s">
        <v>1428</v>
      </c>
      <c r="B31" s="6" t="s">
        <v>1429</v>
      </c>
      <c r="C31" s="12" t="s">
        <v>1430</v>
      </c>
      <c r="D31" s="6"/>
      <c r="E31" s="6"/>
    </row>
    <row r="32" customFormat="false" ht="42" hidden="false" customHeight="true" outlineLevel="0" collapsed="false">
      <c r="A32" s="7" t="s">
        <v>1431</v>
      </c>
      <c r="B32" s="6" t="s">
        <v>1432</v>
      </c>
      <c r="C32" s="12" t="s">
        <v>1433</v>
      </c>
      <c r="D32" s="6"/>
      <c r="E32" s="6"/>
    </row>
    <row r="33" customFormat="false" ht="42" hidden="false" customHeight="true" outlineLevel="0" collapsed="false">
      <c r="A33" s="7" t="s">
        <v>1434</v>
      </c>
      <c r="B33" s="6" t="s">
        <v>1435</v>
      </c>
      <c r="C33" s="12" t="s">
        <v>1436</v>
      </c>
      <c r="D33" s="6"/>
      <c r="E33" s="6"/>
    </row>
    <row r="34" customFormat="false" ht="42" hidden="false" customHeight="true" outlineLevel="0" collapsed="false">
      <c r="A34" s="7" t="s">
        <v>1437</v>
      </c>
      <c r="B34" s="6" t="s">
        <v>1438</v>
      </c>
      <c r="C34" s="12" t="s">
        <v>1439</v>
      </c>
      <c r="D34" s="6"/>
      <c r="E34" s="6"/>
    </row>
    <row r="35" customFormat="false" ht="42" hidden="false" customHeight="true" outlineLevel="0" collapsed="false">
      <c r="A35" s="7" t="s">
        <v>1440</v>
      </c>
      <c r="B35" s="6" t="s">
        <v>1441</v>
      </c>
      <c r="C35" s="12" t="s">
        <v>1442</v>
      </c>
      <c r="D35" s="6"/>
      <c r="E35" s="6"/>
    </row>
    <row r="36" customFormat="false" ht="42" hidden="false" customHeight="true" outlineLevel="0" collapsed="false">
      <c r="A36" s="7" t="s">
        <v>1443</v>
      </c>
      <c r="B36" s="6" t="s">
        <v>1444</v>
      </c>
      <c r="C36" s="12" t="s">
        <v>1445</v>
      </c>
      <c r="D36" s="6"/>
      <c r="E36" s="6"/>
    </row>
  </sheetData>
  <hyperlinks>
    <hyperlink ref="E6" r:id="rId1" display="call"/>
    <hyperlink ref="E7" r:id="rId2" display="call"/>
    <hyperlink ref="E8" r:id="rId3" display="call"/>
    <hyperlink ref="E9" r:id="rId4" display="call"/>
    <hyperlink ref="E10" r:id="rId5" display="call"/>
    <hyperlink ref="E11" r:id="rId6" display="call"/>
    <hyperlink ref="E12" r:id="rId7" display="call"/>
    <hyperlink ref="E19" r:id="rId8" display="open"/>
    <hyperlink ref="E20" r:id="rId9" display="open"/>
    <hyperlink ref="E21" r:id="rId10" display="open"/>
    <hyperlink ref="E22" r:id="rId11" display="open"/>
    <hyperlink ref="E23" r:id="rId12" display="open"/>
    <hyperlink ref="E24" r:id="rId13" display="open"/>
    <hyperlink ref="E25" r:id="rId14" display="open"/>
    <hyperlink ref="E26" r:id="rId15"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C6E7C"/>
    <pageSetUpPr fitToPage="false"/>
  </sheetPr>
  <dimension ref="A1:D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34"/>
    <col collapsed="false" customWidth="true" hidden="false" outlineLevel="0" max="3" min="3" style="0" width="14"/>
    <col collapsed="false" customWidth="true" hidden="false" outlineLevel="0" max="4" min="4" style="0" width="58"/>
  </cols>
  <sheetData>
    <row r="1" customFormat="false" ht="21.75" hidden="false" customHeight="true" outlineLevel="0" collapsed="false">
      <c r="A1" s="1" t="s">
        <v>1446</v>
      </c>
    </row>
    <row r="2" customFormat="false" ht="15" hidden="false" customHeight="false" outlineLevel="0" collapsed="false">
      <c r="A2" s="2" t="s">
        <v>1447</v>
      </c>
    </row>
    <row r="4" customFormat="false" ht="15" hidden="false" customHeight="false" outlineLevel="0" collapsed="false">
      <c r="A4" s="3" t="s">
        <v>1448</v>
      </c>
    </row>
    <row r="5" customFormat="false" ht="30" hidden="false" customHeight="true" outlineLevel="0" collapsed="false">
      <c r="A5" s="5" t="s">
        <v>769</v>
      </c>
      <c r="B5" s="5" t="s">
        <v>1449</v>
      </c>
      <c r="C5" s="5" t="s">
        <v>1450</v>
      </c>
      <c r="D5" s="5" t="s">
        <v>1451</v>
      </c>
    </row>
    <row r="6" customFormat="false" ht="23.85" hidden="false" customHeight="false" outlineLevel="0" collapsed="false">
      <c r="A6" s="7" t="s">
        <v>168</v>
      </c>
      <c r="B6" s="6" t="s">
        <v>1452</v>
      </c>
      <c r="C6" s="12" t="s">
        <v>1453</v>
      </c>
      <c r="D6" s="12" t="s">
        <v>1454</v>
      </c>
    </row>
    <row r="7" customFormat="false" ht="15" hidden="false" customHeight="false" outlineLevel="0" collapsed="false">
      <c r="A7" s="7" t="s">
        <v>1455</v>
      </c>
      <c r="B7" s="6" t="s">
        <v>1456</v>
      </c>
      <c r="C7" s="12" t="s">
        <v>214</v>
      </c>
      <c r="D7" s="12" t="s">
        <v>1457</v>
      </c>
    </row>
    <row r="8" customFormat="false" ht="22.35" hidden="false" customHeight="false" outlineLevel="0" collapsed="false">
      <c r="A8" s="7" t="s">
        <v>1458</v>
      </c>
      <c r="B8" s="6" t="s">
        <v>1459</v>
      </c>
      <c r="C8" s="12" t="s">
        <v>1149</v>
      </c>
      <c r="D8" s="12" t="s">
        <v>1460</v>
      </c>
    </row>
    <row r="9" customFormat="false" ht="15" hidden="false" customHeight="false" outlineLevel="0" collapsed="false">
      <c r="A9" s="7" t="s">
        <v>205</v>
      </c>
      <c r="B9" s="6" t="s">
        <v>1461</v>
      </c>
      <c r="C9" s="12" t="s">
        <v>214</v>
      </c>
      <c r="D9" s="12" t="s">
        <v>1462</v>
      </c>
    </row>
    <row r="11" customFormat="false" ht="15" hidden="false" customHeight="false" outlineLevel="0" collapsed="false">
      <c r="A11" s="3" t="s">
        <v>1241</v>
      </c>
    </row>
    <row r="12" customFormat="false" ht="30" hidden="false" customHeight="true" outlineLevel="0" collapsed="false">
      <c r="A12" s="5" t="s">
        <v>769</v>
      </c>
      <c r="B12" s="5" t="s">
        <v>1449</v>
      </c>
      <c r="C12" s="5" t="s">
        <v>1450</v>
      </c>
      <c r="D12" s="5" t="s">
        <v>1451</v>
      </c>
    </row>
    <row r="13" customFormat="false" ht="23.85" hidden="false" customHeight="false" outlineLevel="0" collapsed="false">
      <c r="A13" s="7" t="s">
        <v>243</v>
      </c>
      <c r="B13" s="6" t="s">
        <v>1463</v>
      </c>
      <c r="C13" s="12" t="s">
        <v>106</v>
      </c>
      <c r="D13" s="12" t="s">
        <v>1464</v>
      </c>
    </row>
    <row r="14" customFormat="false" ht="15" hidden="false" customHeight="false" outlineLevel="0" collapsed="false">
      <c r="A14" s="7" t="s">
        <v>243</v>
      </c>
      <c r="B14" s="6" t="s">
        <v>1465</v>
      </c>
      <c r="C14" s="12" t="s">
        <v>214</v>
      </c>
      <c r="D14" s="12" t="s">
        <v>1466</v>
      </c>
    </row>
    <row r="15" customFormat="false" ht="15" hidden="false" customHeight="false" outlineLevel="0" collapsed="false">
      <c r="A15" s="7" t="s">
        <v>243</v>
      </c>
      <c r="B15" s="6" t="s">
        <v>1467</v>
      </c>
      <c r="C15" s="12" t="s">
        <v>209</v>
      </c>
      <c r="D15" s="12" t="s">
        <v>1468</v>
      </c>
    </row>
    <row r="16" customFormat="false" ht="23.85" hidden="false" customHeight="false" outlineLevel="0" collapsed="false">
      <c r="A16" s="7" t="s">
        <v>450</v>
      </c>
      <c r="B16" s="6" t="s">
        <v>1469</v>
      </c>
      <c r="C16" s="12" t="s">
        <v>1470</v>
      </c>
      <c r="D16" s="12" t="s">
        <v>1471</v>
      </c>
    </row>
    <row r="17" customFormat="false" ht="22.35" hidden="false" customHeight="false" outlineLevel="0" collapsed="false">
      <c r="A17" s="7" t="s">
        <v>238</v>
      </c>
      <c r="B17" s="6" t="s">
        <v>1472</v>
      </c>
      <c r="C17" s="12" t="s">
        <v>285</v>
      </c>
      <c r="D17" s="12" t="s">
        <v>1473</v>
      </c>
    </row>
    <row r="18" customFormat="false" ht="15" hidden="false" customHeight="false" outlineLevel="0" collapsed="false">
      <c r="A18" s="7" t="s">
        <v>311</v>
      </c>
      <c r="B18" s="6" t="s">
        <v>1474</v>
      </c>
      <c r="C18" s="12" t="s">
        <v>1475</v>
      </c>
      <c r="D18" s="12" t="s">
        <v>1476</v>
      </c>
    </row>
    <row r="20" customFormat="false" ht="15" hidden="false" customHeight="false" outlineLevel="0" collapsed="false">
      <c r="A20" s="3" t="s">
        <v>1477</v>
      </c>
    </row>
    <row r="21" customFormat="false" ht="30" hidden="false" customHeight="true" outlineLevel="0" collapsed="false">
      <c r="A21" s="5" t="s">
        <v>769</v>
      </c>
      <c r="B21" s="5" t="s">
        <v>1449</v>
      </c>
      <c r="C21" s="5" t="s">
        <v>1450</v>
      </c>
      <c r="D21" s="5" t="s">
        <v>1451</v>
      </c>
    </row>
    <row r="22" customFormat="false" ht="23.85" hidden="false" customHeight="false" outlineLevel="0" collapsed="false">
      <c r="A22" s="7" t="s">
        <v>450</v>
      </c>
      <c r="B22" s="6" t="s">
        <v>1478</v>
      </c>
      <c r="C22" s="12" t="s">
        <v>1479</v>
      </c>
      <c r="D22" s="12" t="s">
        <v>1480</v>
      </c>
    </row>
    <row r="23" customFormat="false" ht="22.35" hidden="false" customHeight="false" outlineLevel="0" collapsed="false">
      <c r="A23" s="7" t="s">
        <v>450</v>
      </c>
      <c r="B23" s="6" t="s">
        <v>1481</v>
      </c>
      <c r="C23" s="12" t="s">
        <v>1482</v>
      </c>
      <c r="D23" s="12" t="s">
        <v>1483</v>
      </c>
    </row>
    <row r="24" customFormat="false" ht="22.35" hidden="false" customHeight="false" outlineLevel="0" collapsed="false">
      <c r="A24" s="7" t="s">
        <v>1484</v>
      </c>
      <c r="B24" s="6" t="s">
        <v>1485</v>
      </c>
      <c r="C24" s="12" t="s">
        <v>209</v>
      </c>
      <c r="D24" s="12" t="s">
        <v>1486</v>
      </c>
    </row>
    <row r="25" customFormat="false" ht="15" hidden="false" customHeight="false" outlineLevel="0" collapsed="false">
      <c r="A25" s="7" t="s">
        <v>1487</v>
      </c>
      <c r="B25" s="6" t="s">
        <v>1488</v>
      </c>
      <c r="C25" s="12" t="s">
        <v>209</v>
      </c>
      <c r="D25" s="12" t="s">
        <v>1489</v>
      </c>
    </row>
    <row r="26" customFormat="false" ht="23.85" hidden="false" customHeight="false" outlineLevel="0" collapsed="false">
      <c r="A26" s="7" t="s">
        <v>435</v>
      </c>
      <c r="B26" s="6" t="s">
        <v>1490</v>
      </c>
      <c r="C26" s="12" t="s">
        <v>1491</v>
      </c>
      <c r="D26" s="12" t="s">
        <v>1492</v>
      </c>
    </row>
    <row r="27" customFormat="false" ht="15" hidden="false" customHeight="false" outlineLevel="0" collapsed="false">
      <c r="A27" s="7" t="s">
        <v>435</v>
      </c>
      <c r="B27" s="6" t="s">
        <v>1493</v>
      </c>
      <c r="C27" s="12" t="s">
        <v>209</v>
      </c>
      <c r="D27" s="12" t="s">
        <v>1494</v>
      </c>
    </row>
    <row r="28" customFormat="false" ht="32.8" hidden="false" customHeight="false" outlineLevel="0" collapsed="false">
      <c r="A28" s="7" t="s">
        <v>523</v>
      </c>
      <c r="B28" s="6" t="s">
        <v>1495</v>
      </c>
      <c r="C28" s="12" t="s">
        <v>1496</v>
      </c>
      <c r="D28" s="12" t="s">
        <v>1497</v>
      </c>
    </row>
    <row r="29" customFormat="false" ht="32.8" hidden="false" customHeight="false" outlineLevel="0" collapsed="false">
      <c r="A29" s="7" t="s">
        <v>218</v>
      </c>
      <c r="B29" s="6" t="s">
        <v>1498</v>
      </c>
      <c r="C29" s="12" t="s">
        <v>1499</v>
      </c>
      <c r="D29" s="12" t="s">
        <v>1500</v>
      </c>
    </row>
    <row r="30" customFormat="false" ht="15" hidden="false" customHeight="false" outlineLevel="0" collapsed="false">
      <c r="A30" s="7" t="s">
        <v>1501</v>
      </c>
      <c r="B30" s="6" t="s">
        <v>1502</v>
      </c>
      <c r="C30" s="12" t="s">
        <v>209</v>
      </c>
      <c r="D30" s="12" t="s">
        <v>1503</v>
      </c>
    </row>
    <row r="32" customFormat="false" ht="15" hidden="false" customHeight="false" outlineLevel="0" collapsed="false">
      <c r="A32" s="3" t="s">
        <v>1278</v>
      </c>
    </row>
    <row r="33" customFormat="false" ht="30" hidden="false" customHeight="true" outlineLevel="0" collapsed="false">
      <c r="A33" s="5" t="s">
        <v>769</v>
      </c>
      <c r="B33" s="5" t="s">
        <v>1449</v>
      </c>
      <c r="C33" s="5" t="s">
        <v>1450</v>
      </c>
      <c r="D33" s="5" t="s">
        <v>1451</v>
      </c>
    </row>
    <row r="34" customFormat="false" ht="32.8" hidden="false" customHeight="false" outlineLevel="0" collapsed="false">
      <c r="A34" s="7" t="s">
        <v>1009</v>
      </c>
      <c r="B34" s="6" t="s">
        <v>1504</v>
      </c>
      <c r="C34" s="12" t="s">
        <v>1505</v>
      </c>
      <c r="D34" s="12" t="s">
        <v>1506</v>
      </c>
    </row>
    <row r="35" customFormat="false" ht="15" hidden="false" customHeight="false" outlineLevel="0" collapsed="false">
      <c r="A35" s="7" t="s">
        <v>460</v>
      </c>
      <c r="B35" s="6" t="s">
        <v>1507</v>
      </c>
      <c r="C35" s="12" t="s">
        <v>1508</v>
      </c>
      <c r="D35" s="12" t="s">
        <v>1509</v>
      </c>
    </row>
    <row r="36" customFormat="false" ht="23.85" hidden="false" customHeight="false" outlineLevel="0" collapsed="false">
      <c r="A36" s="7" t="s">
        <v>1510</v>
      </c>
      <c r="B36" s="6" t="s">
        <v>1511</v>
      </c>
      <c r="C36" s="12" t="s">
        <v>1512</v>
      </c>
      <c r="D36" s="12" t="s">
        <v>1513</v>
      </c>
    </row>
    <row r="38" customFormat="false" ht="15" hidden="false" customHeight="false" outlineLevel="0" collapsed="false">
      <c r="A38" s="3" t="s">
        <v>27</v>
      </c>
    </row>
    <row r="39" customFormat="false" ht="30" hidden="false" customHeight="true" outlineLevel="0" collapsed="false">
      <c r="A39" s="5" t="s">
        <v>769</v>
      </c>
      <c r="B39" s="5" t="s">
        <v>1449</v>
      </c>
      <c r="C39" s="5" t="s">
        <v>1450</v>
      </c>
      <c r="D39" s="5" t="s">
        <v>1451</v>
      </c>
    </row>
    <row r="40" customFormat="false" ht="23.85" hidden="false" customHeight="false" outlineLevel="0" collapsed="false">
      <c r="A40" s="7" t="s">
        <v>450</v>
      </c>
      <c r="B40" s="6" t="s">
        <v>1514</v>
      </c>
      <c r="C40" s="12" t="s">
        <v>1515</v>
      </c>
      <c r="D40" s="12" t="s">
        <v>1516</v>
      </c>
    </row>
    <row r="41" customFormat="false" ht="22.35" hidden="false" customHeight="false" outlineLevel="0" collapsed="false">
      <c r="A41" s="7" t="s">
        <v>1517</v>
      </c>
      <c r="B41" s="6" t="s">
        <v>1518</v>
      </c>
      <c r="C41" s="12" t="s">
        <v>106</v>
      </c>
      <c r="D41" s="12" t="s">
        <v>1519</v>
      </c>
    </row>
    <row r="42" customFormat="false" ht="23.85" hidden="false" customHeight="false" outlineLevel="0" collapsed="false">
      <c r="A42" s="7" t="s">
        <v>1520</v>
      </c>
      <c r="B42" s="6" t="s">
        <v>1521</v>
      </c>
      <c r="C42" s="12" t="s">
        <v>1522</v>
      </c>
      <c r="D42" s="12" t="s">
        <v>1523</v>
      </c>
    </row>
    <row r="43" customFormat="false" ht="15" hidden="false" customHeight="false" outlineLevel="0" collapsed="false">
      <c r="A43" s="7" t="s">
        <v>516</v>
      </c>
      <c r="B43" s="6" t="s">
        <v>1524</v>
      </c>
      <c r="C43" s="12" t="s">
        <v>921</v>
      </c>
      <c r="D43" s="12" t="s">
        <v>1525</v>
      </c>
    </row>
    <row r="44" customFormat="false" ht="15" hidden="false" customHeight="false" outlineLevel="0" collapsed="false">
      <c r="A44" s="7" t="s">
        <v>243</v>
      </c>
      <c r="B44" s="6" t="s">
        <v>1526</v>
      </c>
      <c r="C44" s="12" t="s">
        <v>1475</v>
      </c>
      <c r="D44" s="12" t="s">
        <v>1527</v>
      </c>
    </row>
    <row r="46" customFormat="false" ht="15" hidden="false" customHeight="false" outlineLevel="0" collapsed="false">
      <c r="A46" s="3" t="s">
        <v>1528</v>
      </c>
    </row>
    <row r="47" customFormat="false" ht="30" hidden="false" customHeight="true" outlineLevel="0" collapsed="false">
      <c r="A47" s="5" t="s">
        <v>769</v>
      </c>
      <c r="B47" s="5" t="s">
        <v>1449</v>
      </c>
      <c r="C47" s="5" t="s">
        <v>1450</v>
      </c>
      <c r="D47" s="5" t="s">
        <v>1451</v>
      </c>
    </row>
    <row r="48" customFormat="false" ht="15" hidden="false" customHeight="false" outlineLevel="0" collapsed="false">
      <c r="A48" s="7" t="s">
        <v>694</v>
      </c>
      <c r="B48" s="6" t="s">
        <v>1529</v>
      </c>
      <c r="C48" s="12" t="s">
        <v>1530</v>
      </c>
      <c r="D48" s="12" t="s">
        <v>1531</v>
      </c>
    </row>
    <row r="49" customFormat="false" ht="15" hidden="false" customHeight="false" outlineLevel="0" collapsed="false">
      <c r="A49" s="7" t="s">
        <v>694</v>
      </c>
      <c r="B49" s="6" t="s">
        <v>1532</v>
      </c>
      <c r="C49" s="12" t="s">
        <v>1533</v>
      </c>
      <c r="D49" s="12" t="s">
        <v>1534</v>
      </c>
    </row>
    <row r="50" customFormat="false" ht="15" hidden="false" customHeight="false" outlineLevel="0" collapsed="false">
      <c r="A50" s="7" t="s">
        <v>31</v>
      </c>
      <c r="B50" s="6" t="s">
        <v>1535</v>
      </c>
      <c r="C50" s="12" t="s">
        <v>1536</v>
      </c>
      <c r="D50" s="12" t="s">
        <v>1537</v>
      </c>
    </row>
    <row r="51" customFormat="false" ht="15" hidden="false" customHeight="false" outlineLevel="0" collapsed="false">
      <c r="A51" s="7" t="s">
        <v>31</v>
      </c>
      <c r="B51" s="6" t="s">
        <v>1538</v>
      </c>
      <c r="C51" s="12" t="s">
        <v>1539</v>
      </c>
      <c r="D51" s="12" t="s">
        <v>1540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2026-08-26T12:26:48Z</dcterms:created>
  <dc:creator>openpyxl</dc:creator>
  <dc:description/>
  <dc:language>en-US</dc:language>
  <cp:lastModifiedBy/>
  <dcterms:modified xsi:type="dcterms:W3CDTF">2026-08-26T12:26:48Z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